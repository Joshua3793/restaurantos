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ation" sheetId="1" state="visible" r:id="rId1"/>
    <sheet name="Summary" sheetId="2" state="visible" r:id="rId2"/>
    <sheet name="Notes" sheetId="3" state="visible" r:id="rId3"/>
  </sheets>
  <definedNames>
    <definedName name="_xlnm._FilterDatabase" localSheetId="0" hidden="1">'Valuation'!$A$4:$R$417</definedName>
  </definedNames>
  <calcPr calcId="124519" fullCalcOnLoad="1"/>
</workbook>
</file>

<file path=xl/styles.xml><?xml version="1.0" encoding="utf-8"?>
<styleSheet xmlns="http://schemas.openxmlformats.org/spreadsheetml/2006/main">
  <numFmts count="4">
    <numFmt numFmtId="164" formatCode="#,##0.###"/>
    <numFmt numFmtId="165" formatCode="$#,##0.00000;($#,##0.00000);-"/>
    <numFmt numFmtId="166" formatCode="$#,##0.00;($#,##0.00);-"/>
    <numFmt numFmtId="167" formatCode="0.0%"/>
  </numFmts>
  <fonts count="6">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b val="1"/>
      <sz val="10"/>
    </font>
  </fonts>
  <fills count="3">
    <fill>
      <patternFill/>
    </fill>
    <fill>
      <patternFill patternType="gray125"/>
    </fill>
    <fill>
      <patternFill patternType="solid">
        <fgColor rgb="001F2937"/>
      </patternFill>
    </fill>
  </fills>
  <borders count="3">
    <border>
      <left/>
      <right/>
      <top/>
      <bottom/>
      <diagonal/>
    </border>
    <border>
      <left style="thin">
        <color rgb="00D4D4D8"/>
      </left>
      <right style="thin">
        <color rgb="00D4D4D8"/>
      </right>
      <top style="thin">
        <color rgb="00D4D4D8"/>
      </top>
      <bottom style="thin">
        <color rgb="00D4D4D8"/>
      </bottom>
    </border>
    <border>
      <top style="medium">
        <color rgb="001F2937"/>
      </top>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pivotButton="0" quotePrefix="0" xfId="0"/>
    <xf numFmtId="164" fontId="4" fillId="0" borderId="1" pivotButton="0" quotePrefix="0" xfId="0"/>
    <xf numFmtId="165" fontId="4" fillId="0" borderId="1" pivotButton="0" quotePrefix="0" xfId="0"/>
    <xf numFmtId="166" fontId="4" fillId="0" borderId="1" pivotButton="0" quotePrefix="0" xfId="0"/>
    <xf numFmtId="0" fontId="5" fillId="0" borderId="2" pivotButton="0" quotePrefix="0" xfId="0"/>
    <xf numFmtId="166" fontId="5" fillId="0" borderId="2" pivotButton="0" quotePrefix="0" xfId="0"/>
    <xf numFmtId="0" fontId="5" fillId="0" borderId="0" pivotButton="0" quotePrefix="0" xfId="0"/>
    <xf numFmtId="0" fontId="3" fillId="2" borderId="0" pivotButton="0" quotePrefix="0" xfId="0"/>
    <xf numFmtId="0" fontId="4" fillId="0" borderId="0" pivotButton="0" quotePrefix="0" xfId="0"/>
    <xf numFmtId="166" fontId="4" fillId="0" borderId="0" pivotButton="0" quotePrefix="0" xfId="0"/>
    <xf numFmtId="167" fontId="4"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8"/>
  <sheetViews>
    <sheetView workbookViewId="0">
      <pane ySplit="4" topLeftCell="A5" activePane="bottomLeft" state="frozen"/>
      <selection pane="bottomLeft" activeCell="A1" sqref="A1"/>
    </sheetView>
  </sheetViews>
  <sheetFormatPr baseColWidth="8" defaultRowHeight="15"/>
  <cols>
    <col width="38" customWidth="1" min="1" max="1"/>
    <col width="10" customWidth="1" min="2" max="2"/>
    <col width="16" customWidth="1" min="3" max="3"/>
    <col width="16" customWidth="1" min="4" max="4"/>
    <col width="26" customWidth="1" min="5" max="5"/>
    <col width="12" customWidth="1" min="6" max="6"/>
    <col width="12" customWidth="1" min="7" max="7"/>
    <col width="12" customWidth="1" min="8" max="8"/>
    <col width="12" customWidth="1" min="9" max="9"/>
    <col width="10" customWidth="1" min="10" max="10"/>
    <col width="20" customWidth="1" min="11" max="11"/>
    <col width="18" customWidth="1" min="12" max="12"/>
    <col width="15" customWidth="1" min="13" max="13"/>
    <col width="21" customWidth="1" min="14" max="14"/>
    <col width="12" customWidth="1" min="15" max="15"/>
    <col width="19" customWidth="1" min="16" max="16"/>
    <col width="8" customWidth="1" min="17" max="17"/>
    <col width="30" customWidth="1" min="18" max="18"/>
  </cols>
  <sheetData>
    <row r="1">
      <c r="A1" s="1" t="inlineStr">
        <is>
          <t>Inventory valuation — KITCHEN — 2026-08-01</t>
        </is>
      </c>
    </row>
    <row r="2">
      <c r="A2" s="2" t="inlineStr">
        <is>
          <t>Source counts: Prep count July 31 (2026-07-31) + Full Count End of Month (2026-08-01). Each item is shown at its most recent physical count. Prices are the corrected prices in the system as at 2026-08-11.</t>
        </is>
      </c>
    </row>
    <row r="4" ht="30" customHeight="1">
      <c r="A4" s="3" t="inlineStr">
        <is>
          <t>Item</t>
        </is>
      </c>
      <c r="B4" s="3" t="inlineStr">
        <is>
          <t>Category</t>
        </is>
      </c>
      <c r="C4" s="3" t="inlineStr">
        <is>
          <t>Storage area</t>
        </is>
      </c>
      <c r="D4" s="3" t="inlineStr">
        <is>
          <t>Supplier</t>
        </is>
      </c>
      <c r="E4" s="3" t="inlineStr">
        <is>
          <t>Quantity basis</t>
        </is>
      </c>
      <c r="F4" s="3" t="inlineStr">
        <is>
          <t>Counted on</t>
        </is>
      </c>
      <c r="G4" s="3" t="inlineStr">
        <is>
          <t>Qty counted</t>
        </is>
      </c>
      <c r="H4" s="3" t="inlineStr">
        <is>
          <t>Count unit</t>
        </is>
      </c>
      <c r="I4" s="3" t="inlineStr">
        <is>
          <t>Qty (base)</t>
        </is>
      </c>
      <c r="J4" s="3" t="inlineStr">
        <is>
          <t>Base unit</t>
        </is>
      </c>
      <c r="K4" s="3" t="inlineStr">
        <is>
          <t>Price at count ($/base)</t>
        </is>
      </c>
      <c r="L4" s="3" t="inlineStr">
        <is>
          <t>Price now ($/base)</t>
        </is>
      </c>
      <c r="M4" s="3" t="inlineStr">
        <is>
          <t>Value at count</t>
        </is>
      </c>
      <c r="N4" s="3" t="inlineStr">
        <is>
          <t>Value at current prices</t>
        </is>
      </c>
      <c r="O4" s="3" t="inlineStr">
        <is>
          <t>Change</t>
        </is>
      </c>
      <c r="P4" s="3" t="inlineStr">
        <is>
          <t>Price now (readable)</t>
        </is>
      </c>
      <c r="Q4" s="3" t="inlineStr">
        <is>
          <t>Per</t>
        </is>
      </c>
      <c r="R4" s="3" t="inlineStr">
        <is>
          <t>Pack format</t>
        </is>
      </c>
    </row>
    <row r="5">
      <c r="A5" s="4" t="inlineStr">
        <is>
          <t>Baguette</t>
        </is>
      </c>
      <c r="B5" s="4" t="inlineStr">
        <is>
          <t>BREAD</t>
        </is>
      </c>
      <c r="C5" s="4" t="inlineStr">
        <is>
          <t>FREEZER</t>
        </is>
      </c>
      <c r="D5" s="4" t="inlineStr"/>
      <c r="E5" s="4" t="inlineStr">
        <is>
          <t>Physically counted 2026-08-01</t>
        </is>
      </c>
      <c r="F5" s="4" t="inlineStr">
        <is>
          <t>2026-08-01</t>
        </is>
      </c>
      <c r="G5" s="5" t="n">
        <v>0</v>
      </c>
      <c r="H5" s="4" t="inlineStr">
        <is>
          <t>each</t>
        </is>
      </c>
      <c r="I5" s="5" t="n">
        <v>0</v>
      </c>
      <c r="J5" s="4" t="inlineStr">
        <is>
          <t>each</t>
        </is>
      </c>
      <c r="K5" s="6" t="n">
        <v>3.135</v>
      </c>
      <c r="L5" s="6" t="n">
        <v>3.135</v>
      </c>
      <c r="M5" s="7">
        <f>I5*K5</f>
        <v/>
      </c>
      <c r="N5" s="7">
        <f>I5*L5</f>
        <v/>
      </c>
      <c r="O5" s="7">
        <f>N5-M5</f>
        <v/>
      </c>
      <c r="P5" s="7" t="n">
        <v>3.135</v>
      </c>
      <c r="Q5" s="4" t="inlineStr">
        <is>
          <t>each</t>
        </is>
      </c>
      <c r="R5" s="4" t="inlineStr">
        <is>
          <t>20 case → 1 each</t>
        </is>
      </c>
    </row>
    <row r="6">
      <c r="A6" s="4" t="inlineStr">
        <is>
          <t>Brioche Unsliced</t>
        </is>
      </c>
      <c r="B6" s="4" t="inlineStr">
        <is>
          <t>BREAD</t>
        </is>
      </c>
      <c r="C6" s="4" t="inlineStr"/>
      <c r="D6" s="4" t="inlineStr"/>
      <c r="E6" s="4" t="inlineStr">
        <is>
          <t>Physically counted 2026-08-01</t>
        </is>
      </c>
      <c r="F6" s="4" t="inlineStr">
        <is>
          <t>2026-08-01</t>
        </is>
      </c>
      <c r="G6" s="5" t="n">
        <v>18</v>
      </c>
      <c r="H6" s="4" t="inlineStr">
        <is>
          <t>each</t>
        </is>
      </c>
      <c r="I6" s="5" t="n">
        <v>18</v>
      </c>
      <c r="J6" s="4" t="inlineStr">
        <is>
          <t>each</t>
        </is>
      </c>
      <c r="K6" s="6" t="n">
        <v>10.03</v>
      </c>
      <c r="L6" s="6" t="n">
        <v>10.03</v>
      </c>
      <c r="M6" s="7">
        <f>I6*K6</f>
        <v/>
      </c>
      <c r="N6" s="7">
        <f>I6*L6</f>
        <v/>
      </c>
      <c r="O6" s="7">
        <f>N6-M6</f>
        <v/>
      </c>
      <c r="P6" s="7" t="n">
        <v>10.03</v>
      </c>
      <c r="Q6" s="4" t="inlineStr">
        <is>
          <t>each</t>
        </is>
      </c>
      <c r="R6" s="4" t="inlineStr">
        <is>
          <t>8 cs</t>
        </is>
      </c>
    </row>
    <row r="7">
      <c r="A7" s="4" t="inlineStr">
        <is>
          <t>BUN BURGER SWT POTATO JAL CHDR</t>
        </is>
      </c>
      <c r="B7" s="4" t="inlineStr">
        <is>
          <t>BREAD</t>
        </is>
      </c>
      <c r="C7" s="4" t="inlineStr"/>
      <c r="D7" s="4" t="inlineStr">
        <is>
          <t>Sysco</t>
        </is>
      </c>
      <c r="E7" s="4" t="inlineStr">
        <is>
          <t>Physically counted 2026-08-01</t>
        </is>
      </c>
      <c r="F7" s="4" t="inlineStr">
        <is>
          <t>2026-08-01</t>
        </is>
      </c>
      <c r="G7" s="5" t="n">
        <v>2</v>
      </c>
      <c r="H7" s="4" t="inlineStr">
        <is>
          <t>case</t>
        </is>
      </c>
      <c r="I7" s="5" t="n">
        <v>10656</v>
      </c>
      <c r="J7" s="4" t="inlineStr">
        <is>
          <t>g</t>
        </is>
      </c>
      <c r="K7" s="6" t="n">
        <v>0.01199136636636637</v>
      </c>
      <c r="L7" s="6" t="n">
        <v>0.01199136636636637</v>
      </c>
      <c r="M7" s="7">
        <f>I7*K7</f>
        <v/>
      </c>
      <c r="N7" s="7">
        <f>I7*L7</f>
        <v/>
      </c>
      <c r="O7" s="7">
        <f>N7-M7</f>
        <v/>
      </c>
      <c r="P7" s="7" t="n">
        <v>11.99136636636637</v>
      </c>
      <c r="Q7" s="4" t="inlineStr">
        <is>
          <t>kg</t>
        </is>
      </c>
      <c r="R7" s="4" t="inlineStr">
        <is>
          <t>72 case → 74 each</t>
        </is>
      </c>
    </row>
    <row r="8">
      <c r="A8" s="4" t="inlineStr">
        <is>
          <t>Burger Bun Sliced</t>
        </is>
      </c>
      <c r="B8" s="4" t="inlineStr">
        <is>
          <t>BREAD</t>
        </is>
      </c>
      <c r="C8" s="4" t="inlineStr"/>
      <c r="D8" s="4" t="inlineStr"/>
      <c r="E8" s="4" t="inlineStr">
        <is>
          <t>Physically counted 2026-08-01</t>
        </is>
      </c>
      <c r="F8" s="4" t="inlineStr">
        <is>
          <t>2026-08-01</t>
        </is>
      </c>
      <c r="G8" s="5" t="n">
        <v>3</v>
      </c>
      <c r="H8" s="4" t="inlineStr">
        <is>
          <t>case</t>
        </is>
      </c>
      <c r="I8" s="5" t="n">
        <v>216</v>
      </c>
      <c r="J8" s="4" t="inlineStr">
        <is>
          <t>each</t>
        </is>
      </c>
      <c r="K8" s="6" t="n">
        <v>0.8113888888888889</v>
      </c>
      <c r="L8" s="6" t="n">
        <v>0.8113888888888889</v>
      </c>
      <c r="M8" s="7">
        <f>I8*K8</f>
        <v/>
      </c>
      <c r="N8" s="7">
        <f>I8*L8</f>
        <v/>
      </c>
      <c r="O8" s="7">
        <f>N8-M8</f>
        <v/>
      </c>
      <c r="P8" s="7" t="n">
        <v>0.8113888888888889</v>
      </c>
      <c r="Q8" s="4" t="inlineStr">
        <is>
          <t>each</t>
        </is>
      </c>
      <c r="R8" s="4" t="inlineStr">
        <is>
          <t>8 case → 9 each</t>
        </is>
      </c>
    </row>
    <row r="9">
      <c r="A9" s="4" t="inlineStr">
        <is>
          <t>Croissant Plain</t>
        </is>
      </c>
      <c r="B9" s="4" t="inlineStr">
        <is>
          <t>BREAD</t>
        </is>
      </c>
      <c r="C9" s="4" t="inlineStr"/>
      <c r="D9" s="4" t="inlineStr"/>
      <c r="E9" s="4" t="inlineStr">
        <is>
          <t>Physically counted 2026-08-01</t>
        </is>
      </c>
      <c r="F9" s="4" t="inlineStr">
        <is>
          <t>2026-08-01</t>
        </is>
      </c>
      <c r="G9" s="5" t="n">
        <v>120</v>
      </c>
      <c r="H9" s="4" t="inlineStr">
        <is>
          <t>each</t>
        </is>
      </c>
      <c r="I9" s="5" t="n">
        <v>120</v>
      </c>
      <c r="J9" s="4" t="inlineStr">
        <is>
          <t>each</t>
        </is>
      </c>
      <c r="K9" s="6" t="n">
        <v>2.7</v>
      </c>
      <c r="L9" s="6" t="n">
        <v>2.7</v>
      </c>
      <c r="M9" s="7">
        <f>I9*K9</f>
        <v/>
      </c>
      <c r="N9" s="7">
        <f>I9*L9</f>
        <v/>
      </c>
      <c r="O9" s="7">
        <f>N9-M9</f>
        <v/>
      </c>
      <c r="P9" s="7" t="n">
        <v>2.7</v>
      </c>
      <c r="Q9" s="4" t="inlineStr">
        <is>
          <t>each</t>
        </is>
      </c>
      <c r="R9" s="4" t="inlineStr">
        <is>
          <t>1 each → 1 each</t>
        </is>
      </c>
    </row>
    <row r="10">
      <c r="A10" s="4" t="inlineStr">
        <is>
          <t>cruffins</t>
        </is>
      </c>
      <c r="B10" s="4" t="inlineStr">
        <is>
          <t>BREAD</t>
        </is>
      </c>
      <c r="C10" s="4" t="inlineStr"/>
      <c r="D10" s="4" t="inlineStr"/>
      <c r="E10" s="4" t="inlineStr">
        <is>
          <t>Physically counted 2026-08-01</t>
        </is>
      </c>
      <c r="F10" s="4" t="inlineStr">
        <is>
          <t>2026-08-01</t>
        </is>
      </c>
      <c r="G10" s="5" t="n">
        <v>60</v>
      </c>
      <c r="H10" s="4" t="inlineStr">
        <is>
          <t>each</t>
        </is>
      </c>
      <c r="I10" s="5" t="n">
        <v>60</v>
      </c>
      <c r="J10" s="4" t="inlineStr">
        <is>
          <t>each</t>
        </is>
      </c>
      <c r="K10" s="6" t="n">
        <v>2.6</v>
      </c>
      <c r="L10" s="6" t="n">
        <v>2.6</v>
      </c>
      <c r="M10" s="7">
        <f>I10*K10</f>
        <v/>
      </c>
      <c r="N10" s="7">
        <f>I10*L10</f>
        <v/>
      </c>
      <c r="O10" s="7">
        <f>N10-M10</f>
        <v/>
      </c>
      <c r="P10" s="7" t="n">
        <v>2.6</v>
      </c>
      <c r="Q10" s="4" t="inlineStr">
        <is>
          <t>each</t>
        </is>
      </c>
      <c r="R10" s="4" t="inlineStr">
        <is>
          <t>1 each → 1 each</t>
        </is>
      </c>
    </row>
    <row r="11">
      <c r="A11" s="4" t="inlineStr">
        <is>
          <t>ENGLISH MUFFIN GF 4PK</t>
        </is>
      </c>
      <c r="B11" s="4" t="inlineStr">
        <is>
          <t>BREAD</t>
        </is>
      </c>
      <c r="C11" s="4" t="inlineStr"/>
      <c r="D11" s="4" t="inlineStr">
        <is>
          <t>Snow Cap</t>
        </is>
      </c>
      <c r="E11" s="4" t="inlineStr">
        <is>
          <t>Physically counted 2026-08-01</t>
        </is>
      </c>
      <c r="F11" s="4" t="inlineStr">
        <is>
          <t>2026-08-01</t>
        </is>
      </c>
      <c r="G11" s="5" t="n">
        <v>16.3</v>
      </c>
      <c r="H11" s="4" t="inlineStr">
        <is>
          <t>pack</t>
        </is>
      </c>
      <c r="I11" s="5" t="n">
        <v>65.2</v>
      </c>
      <c r="J11" s="4" t="inlineStr">
        <is>
          <t>each</t>
        </is>
      </c>
      <c r="K11" s="6" t="n">
        <v>1.687916666666667</v>
      </c>
      <c r="L11" s="6" t="n">
        <v>1.687916666666667</v>
      </c>
      <c r="M11" s="7">
        <f>I11*K11</f>
        <v/>
      </c>
      <c r="N11" s="7">
        <f>I11*L11</f>
        <v/>
      </c>
      <c r="O11" s="7">
        <f>N11-M11</f>
        <v/>
      </c>
      <c r="P11" s="7" t="n">
        <v>1.687916666666667</v>
      </c>
      <c r="Q11" s="4" t="inlineStr">
        <is>
          <t>each</t>
        </is>
      </c>
      <c r="R11" s="4" t="inlineStr">
        <is>
          <t>6 case → 4 pack</t>
        </is>
      </c>
    </row>
    <row r="12">
      <c r="A12" s="4" t="inlineStr">
        <is>
          <t>GF Brioche Bun</t>
        </is>
      </c>
      <c r="B12" s="4" t="inlineStr">
        <is>
          <t>BREAD</t>
        </is>
      </c>
      <c r="C12" s="4" t="inlineStr"/>
      <c r="D12" s="4" t="inlineStr"/>
      <c r="E12" s="4" t="inlineStr">
        <is>
          <t>Physically counted 2026-08-01</t>
        </is>
      </c>
      <c r="F12" s="4" t="inlineStr">
        <is>
          <t>2026-08-01</t>
        </is>
      </c>
      <c r="G12" s="5" t="n">
        <v>14</v>
      </c>
      <c r="H12" s="4" t="inlineStr">
        <is>
          <t>pack</t>
        </is>
      </c>
      <c r="I12" s="5" t="n">
        <v>84</v>
      </c>
      <c r="J12" s="4" t="inlineStr">
        <is>
          <t>each</t>
        </is>
      </c>
      <c r="K12" s="6" t="n">
        <v>1.687916666666667</v>
      </c>
      <c r="L12" s="6" t="n">
        <v>1.687916666666667</v>
      </c>
      <c r="M12" s="7">
        <f>I12*K12</f>
        <v/>
      </c>
      <c r="N12" s="7">
        <f>I12*L12</f>
        <v/>
      </c>
      <c r="O12" s="7">
        <f>N12-M12</f>
        <v/>
      </c>
      <c r="P12" s="7" t="n">
        <v>1.687916666666667</v>
      </c>
      <c r="Q12" s="4" t="inlineStr">
        <is>
          <t>each</t>
        </is>
      </c>
      <c r="R12" s="4" t="inlineStr">
        <is>
          <t>4 case → 6 pack</t>
        </is>
      </c>
    </row>
    <row r="13">
      <c r="A13" s="4" t="inlineStr">
        <is>
          <t>GF ENGLISH MUFFIN</t>
        </is>
      </c>
      <c r="B13" s="4" t="inlineStr">
        <is>
          <t>BREAD</t>
        </is>
      </c>
      <c r="C13" s="4" t="inlineStr"/>
      <c r="D13" s="4" t="inlineStr">
        <is>
          <t>Sysco</t>
        </is>
      </c>
      <c r="E13" s="4" t="inlineStr">
        <is>
          <t>Physically counted 2026-08-01</t>
        </is>
      </c>
      <c r="F13" s="4" t="inlineStr">
        <is>
          <t>2026-08-01</t>
        </is>
      </c>
      <c r="G13" s="5" t="n">
        <v>0</v>
      </c>
      <c r="H13" s="4" t="inlineStr">
        <is>
          <t>pack</t>
        </is>
      </c>
      <c r="I13" s="5" t="n">
        <v>0</v>
      </c>
      <c r="J13" s="4" t="inlineStr">
        <is>
          <t>each</t>
        </is>
      </c>
      <c r="K13" s="6" t="n">
        <v>1.687916666666667</v>
      </c>
      <c r="L13" s="6" t="n">
        <v>1.687916666666667</v>
      </c>
      <c r="M13" s="7">
        <f>I13*K13</f>
        <v/>
      </c>
      <c r="N13" s="7">
        <f>I13*L13</f>
        <v/>
      </c>
      <c r="O13" s="7">
        <f>N13-M13</f>
        <v/>
      </c>
      <c r="P13" s="7" t="n">
        <v>1.687916666666667</v>
      </c>
      <c r="Q13" s="4" t="inlineStr">
        <is>
          <t>each</t>
        </is>
      </c>
      <c r="R13" s="4" t="inlineStr">
        <is>
          <t>4 case → 6 pack</t>
        </is>
      </c>
    </row>
    <row r="14">
      <c r="A14" s="4" t="inlineStr">
        <is>
          <t>GF SOFT WHITE LOAF</t>
        </is>
      </c>
      <c r="B14" s="4" t="inlineStr">
        <is>
          <t>BREAD</t>
        </is>
      </c>
      <c r="C14" s="4" t="inlineStr"/>
      <c r="D14" s="4" t="inlineStr"/>
      <c r="E14" s="4" t="inlineStr">
        <is>
          <t>Physically counted 2026-08-01</t>
        </is>
      </c>
      <c r="F14" s="4" t="inlineStr">
        <is>
          <t>2026-08-01</t>
        </is>
      </c>
      <c r="G14" s="5" t="n">
        <v>12</v>
      </c>
      <c r="H14" s="4" t="inlineStr">
        <is>
          <t>each</t>
        </is>
      </c>
      <c r="I14" s="5" t="n">
        <v>5760</v>
      </c>
      <c r="J14" s="4" t="inlineStr">
        <is>
          <t>g</t>
        </is>
      </c>
      <c r="K14" s="6" t="n">
        <v>0.0140625</v>
      </c>
      <c r="L14" s="6" t="n">
        <v>0.0140625</v>
      </c>
      <c r="M14" s="7">
        <f>I14*K14</f>
        <v/>
      </c>
      <c r="N14" s="7">
        <f>I14*L14</f>
        <v/>
      </c>
      <c r="O14" s="7">
        <f>N14-M14</f>
        <v/>
      </c>
      <c r="P14" s="7" t="n">
        <v>14.0625</v>
      </c>
      <c r="Q14" s="4" t="inlineStr">
        <is>
          <t>kg</t>
        </is>
      </c>
      <c r="R14" s="4" t="inlineStr">
        <is>
          <t>4 case → 480 each</t>
        </is>
      </c>
    </row>
    <row r="15">
      <c r="A15" s="4" t="inlineStr">
        <is>
          <t>Naan Bread Round 8 in</t>
        </is>
      </c>
      <c r="B15" s="4" t="inlineStr">
        <is>
          <t>BREAD</t>
        </is>
      </c>
      <c r="C15" s="4" t="inlineStr"/>
      <c r="D15" s="4" t="inlineStr">
        <is>
          <t>Sysco</t>
        </is>
      </c>
      <c r="E15" s="4" t="inlineStr">
        <is>
          <t>Physically counted 2026-08-01</t>
        </is>
      </c>
      <c r="F15" s="4" t="inlineStr">
        <is>
          <t>2026-08-01</t>
        </is>
      </c>
      <c r="G15" s="5" t="n">
        <v>0</v>
      </c>
      <c r="H15" s="4" t="inlineStr">
        <is>
          <t>pack</t>
        </is>
      </c>
      <c r="I15" s="5" t="n">
        <v>0</v>
      </c>
      <c r="J15" s="4" t="inlineStr">
        <is>
          <t>each</t>
        </is>
      </c>
      <c r="K15" s="6" t="n">
        <v>0.8885416666666667</v>
      </c>
      <c r="L15" s="6" t="n">
        <v>0.8885416666666667</v>
      </c>
      <c r="M15" s="7">
        <f>I15*K15</f>
        <v/>
      </c>
      <c r="N15" s="7">
        <f>I15*L15</f>
        <v/>
      </c>
      <c r="O15" s="7">
        <f>N15-M15</f>
        <v/>
      </c>
      <c r="P15" s="7" t="n">
        <v>0.8885416666666667</v>
      </c>
      <c r="Q15" s="4" t="inlineStr">
        <is>
          <t>each</t>
        </is>
      </c>
      <c r="R15" s="4" t="inlineStr">
        <is>
          <t>6 case → 8 pack</t>
        </is>
      </c>
    </row>
    <row r="16">
      <c r="A16" s="4" t="inlineStr">
        <is>
          <t>Pain au Chocolate</t>
        </is>
      </c>
      <c r="B16" s="4" t="inlineStr">
        <is>
          <t>BREAD</t>
        </is>
      </c>
      <c r="C16" s="4" t="inlineStr">
        <is>
          <t>FREEZER</t>
        </is>
      </c>
      <c r="D16" s="4" t="inlineStr"/>
      <c r="E16" s="4" t="inlineStr">
        <is>
          <t>Physically counted 2026-08-01</t>
        </is>
      </c>
      <c r="F16" s="4" t="inlineStr">
        <is>
          <t>2026-08-01</t>
        </is>
      </c>
      <c r="G16" s="5" t="n">
        <v>66</v>
      </c>
      <c r="H16" s="4" t="inlineStr">
        <is>
          <t>each</t>
        </is>
      </c>
      <c r="I16" s="5" t="n">
        <v>66</v>
      </c>
      <c r="J16" s="4" t="inlineStr">
        <is>
          <t>each</t>
        </is>
      </c>
      <c r="K16" s="6" t="n">
        <v>2.9</v>
      </c>
      <c r="L16" s="6" t="n">
        <v>2.9</v>
      </c>
      <c r="M16" s="7">
        <f>I16*K16</f>
        <v/>
      </c>
      <c r="N16" s="7">
        <f>I16*L16</f>
        <v/>
      </c>
      <c r="O16" s="7">
        <f>N16-M16</f>
        <v/>
      </c>
      <c r="P16" s="7" t="n">
        <v>2.9</v>
      </c>
      <c r="Q16" s="4" t="inlineStr">
        <is>
          <t>each</t>
        </is>
      </c>
      <c r="R16" s="4" t="inlineStr">
        <is>
          <t>1 each → 1 each</t>
        </is>
      </c>
    </row>
    <row r="17">
      <c r="A17" s="4" t="inlineStr">
        <is>
          <t>Pastry shell chocolate</t>
        </is>
      </c>
      <c r="B17" s="4" t="inlineStr">
        <is>
          <t>BREAD</t>
        </is>
      </c>
      <c r="C17" s="4" t="inlineStr">
        <is>
          <t>CATERING</t>
        </is>
      </c>
      <c r="D17" s="4" t="inlineStr"/>
      <c r="E17" s="4" t="inlineStr">
        <is>
          <t>Physically counted 2026-08-01</t>
        </is>
      </c>
      <c r="F17" s="4" t="inlineStr">
        <is>
          <t>2026-08-01</t>
        </is>
      </c>
      <c r="G17" s="5" t="n">
        <v>0</v>
      </c>
      <c r="H17" s="4" t="inlineStr">
        <is>
          <t>each</t>
        </is>
      </c>
      <c r="I17" s="5" t="n">
        <v>0</v>
      </c>
      <c r="J17" s="4" t="inlineStr">
        <is>
          <t>each</t>
        </is>
      </c>
      <c r="K17" s="6" t="n">
        <v>2.098333333333334</v>
      </c>
      <c r="L17" s="6" t="n">
        <v>2.098333333333334</v>
      </c>
      <c r="M17" s="7">
        <f>I17*K17</f>
        <v/>
      </c>
      <c r="N17" s="7">
        <f>I17*L17</f>
        <v/>
      </c>
      <c r="O17" s="7">
        <f>N17-M17</f>
        <v/>
      </c>
      <c r="P17" s="7" t="n">
        <v>2.098333333333334</v>
      </c>
      <c r="Q17" s="4" t="inlineStr">
        <is>
          <t>each</t>
        </is>
      </c>
      <c r="R17" s="4" t="inlineStr">
        <is>
          <t>60 case</t>
        </is>
      </c>
    </row>
    <row r="18">
      <c r="A18" s="4" t="inlineStr">
        <is>
          <t>Pita Bread</t>
        </is>
      </c>
      <c r="B18" s="4" t="inlineStr">
        <is>
          <t>BREAD</t>
        </is>
      </c>
      <c r="C18" s="4" t="inlineStr"/>
      <c r="D18" s="4" t="inlineStr"/>
      <c r="E18" s="4" t="inlineStr">
        <is>
          <t>Physically counted 2026-08-01</t>
        </is>
      </c>
      <c r="F18" s="4" t="inlineStr">
        <is>
          <t>2026-08-01</t>
        </is>
      </c>
      <c r="G18" s="5" t="n">
        <v>35</v>
      </c>
      <c r="H18" s="4" t="inlineStr">
        <is>
          <t>pack</t>
        </is>
      </c>
      <c r="I18" s="5" t="n">
        <v>210</v>
      </c>
      <c r="J18" s="4" t="inlineStr">
        <is>
          <t>each</t>
        </is>
      </c>
      <c r="K18" s="6" t="n">
        <v>0.2740277777777778</v>
      </c>
      <c r="L18" s="6" t="n">
        <v>0.2740277777777778</v>
      </c>
      <c r="M18" s="7">
        <f>I18*K18</f>
        <v/>
      </c>
      <c r="N18" s="7">
        <f>I18*L18</f>
        <v/>
      </c>
      <c r="O18" s="7">
        <f>N18-M18</f>
        <v/>
      </c>
      <c r="P18" s="7" t="n">
        <v>0.2740277777777778</v>
      </c>
      <c r="Q18" s="4" t="inlineStr">
        <is>
          <t>each</t>
        </is>
      </c>
      <c r="R18" s="4" t="inlineStr">
        <is>
          <t>24 case → 6 pack</t>
        </is>
      </c>
    </row>
    <row r="19">
      <c r="A19" s="4" t="inlineStr">
        <is>
          <t>Pizza Margherita RETAIL 12 x 615g WOOZA</t>
        </is>
      </c>
      <c r="B19" s="4" t="inlineStr">
        <is>
          <t>BREAD</t>
        </is>
      </c>
      <c r="C19" s="4" t="inlineStr"/>
      <c r="D19" s="4" t="inlineStr">
        <is>
          <t>Legends Haul</t>
        </is>
      </c>
      <c r="E19" s="4" t="inlineStr">
        <is>
          <t>Physically counted 2026-08-01</t>
        </is>
      </c>
      <c r="F19" s="4" t="inlineStr">
        <is>
          <t>2026-08-01</t>
        </is>
      </c>
      <c r="G19" s="5" t="n">
        <v>0</v>
      </c>
      <c r="H19" s="4" t="inlineStr">
        <is>
          <t>each</t>
        </is>
      </c>
      <c r="I19" s="5" t="n">
        <v>0</v>
      </c>
      <c r="J19" s="4" t="inlineStr">
        <is>
          <t>g</t>
        </is>
      </c>
      <c r="K19" s="6" t="n">
        <v>0.02168021680216802</v>
      </c>
      <c r="L19" s="6" t="n">
        <v>0.02168021680216802</v>
      </c>
      <c r="M19" s="7">
        <f>I19*K19</f>
        <v/>
      </c>
      <c r="N19" s="7">
        <f>I19*L19</f>
        <v/>
      </c>
      <c r="O19" s="7">
        <f>N19-M19</f>
        <v/>
      </c>
      <c r="P19" s="7" t="n">
        <v>21.68021680216802</v>
      </c>
      <c r="Q19" s="4" t="inlineStr">
        <is>
          <t>kg</t>
        </is>
      </c>
      <c r="R19" s="4" t="inlineStr">
        <is>
          <t>12 case → 615 each</t>
        </is>
      </c>
    </row>
    <row r="20">
      <c r="A20" s="4" t="inlineStr">
        <is>
          <t>Pizza Pepperoni RETAIL 12 x 600g WOOZA</t>
        </is>
      </c>
      <c r="B20" s="4" t="inlineStr">
        <is>
          <t>BREAD</t>
        </is>
      </c>
      <c r="C20" s="4" t="inlineStr"/>
      <c r="D20" s="4" t="inlineStr">
        <is>
          <t>Legends Haul</t>
        </is>
      </c>
      <c r="E20" s="4" t="inlineStr">
        <is>
          <t>Physically counted 2026-08-01</t>
        </is>
      </c>
      <c r="F20" s="4" t="inlineStr">
        <is>
          <t>2026-08-01</t>
        </is>
      </c>
      <c r="G20" s="5" t="n">
        <v>0</v>
      </c>
      <c r="H20" s="4" t="inlineStr">
        <is>
          <t>each</t>
        </is>
      </c>
      <c r="I20" s="5" t="n">
        <v>0</v>
      </c>
      <c r="J20" s="4" t="inlineStr">
        <is>
          <t>g</t>
        </is>
      </c>
      <c r="K20" s="6" t="n">
        <v>0.02222222222222222</v>
      </c>
      <c r="L20" s="6" t="n">
        <v>0.02222222222222222</v>
      </c>
      <c r="M20" s="7">
        <f>I20*K20</f>
        <v/>
      </c>
      <c r="N20" s="7">
        <f>I20*L20</f>
        <v/>
      </c>
      <c r="O20" s="7">
        <f>N20-M20</f>
        <v/>
      </c>
      <c r="P20" s="7" t="n">
        <v>22.22222222222222</v>
      </c>
      <c r="Q20" s="4" t="inlineStr">
        <is>
          <t>kg</t>
        </is>
      </c>
      <c r="R20" s="4" t="inlineStr">
        <is>
          <t>12 case → 600 each</t>
        </is>
      </c>
    </row>
    <row r="21">
      <c r="A21" s="4" t="inlineStr">
        <is>
          <t>PUFF PASTRY CROISSANT</t>
        </is>
      </c>
      <c r="B21" s="4" t="inlineStr">
        <is>
          <t>BREAD</t>
        </is>
      </c>
      <c r="C21" s="4" t="inlineStr"/>
      <c r="D21" s="4" t="inlineStr"/>
      <c r="E21" s="4" t="inlineStr">
        <is>
          <t>Physically counted 2026-08-01</t>
        </is>
      </c>
      <c r="F21" s="4" t="inlineStr">
        <is>
          <t>2026-08-01</t>
        </is>
      </c>
      <c r="G21" s="5" t="n">
        <v>10</v>
      </c>
      <c r="H21" s="4" t="inlineStr">
        <is>
          <t>each</t>
        </is>
      </c>
      <c r="I21" s="5" t="n">
        <v>10</v>
      </c>
      <c r="J21" s="4" t="inlineStr">
        <is>
          <t>each</t>
        </is>
      </c>
      <c r="K21" s="6" t="n">
        <v>18.236</v>
      </c>
      <c r="L21" s="6" t="n">
        <v>18.236</v>
      </c>
      <c r="M21" s="7">
        <f>I21*K21</f>
        <v/>
      </c>
      <c r="N21" s="7">
        <f>I21*L21</f>
        <v/>
      </c>
      <c r="O21" s="7">
        <f>N21-M21</f>
        <v/>
      </c>
      <c r="P21" s="7" t="n">
        <v>18.236</v>
      </c>
      <c r="Q21" s="4" t="inlineStr">
        <is>
          <t>each</t>
        </is>
      </c>
      <c r="R21" s="4" t="inlineStr">
        <is>
          <t>10 case</t>
        </is>
      </c>
    </row>
    <row r="22">
      <c r="A22" s="4" t="inlineStr">
        <is>
          <t>Spring roll wrappers</t>
        </is>
      </c>
      <c r="B22" s="4" t="inlineStr">
        <is>
          <t>BREAD</t>
        </is>
      </c>
      <c r="C22" s="4" t="inlineStr">
        <is>
          <t>FREEZER</t>
        </is>
      </c>
      <c r="D22" s="4" t="inlineStr"/>
      <c r="E22" s="4" t="inlineStr">
        <is>
          <t>Physically counted 2026-08-01</t>
        </is>
      </c>
      <c r="F22" s="4" t="inlineStr">
        <is>
          <t>2026-08-01</t>
        </is>
      </c>
      <c r="G22" s="5" t="n">
        <v>0</v>
      </c>
      <c r="H22" s="4" t="inlineStr">
        <is>
          <t>kg</t>
        </is>
      </c>
      <c r="I22" s="5" t="n">
        <v>0</v>
      </c>
      <c r="J22" s="4" t="inlineStr">
        <is>
          <t>g</t>
        </is>
      </c>
      <c r="K22" s="6" t="n">
        <v>0.01254545454545455</v>
      </c>
      <c r="L22" s="6" t="n">
        <v>0.01254545454545455</v>
      </c>
      <c r="M22" s="7">
        <f>I22*K22</f>
        <v/>
      </c>
      <c r="N22" s="7">
        <f>I22*L22</f>
        <v/>
      </c>
      <c r="O22" s="7">
        <f>N22-M22</f>
        <v/>
      </c>
      <c r="P22" s="7" t="n">
        <v>12.54545454545454</v>
      </c>
      <c r="Q22" s="4" t="inlineStr">
        <is>
          <t>kg</t>
        </is>
      </c>
      <c r="R22" s="4" t="inlineStr">
        <is>
          <t>1 each → 11000 each</t>
        </is>
      </c>
    </row>
    <row r="23">
      <c r="A23" s="4" t="inlineStr">
        <is>
          <t>Yellow corn Tortillas</t>
        </is>
      </c>
      <c r="B23" s="4" t="inlineStr">
        <is>
          <t>BREAD</t>
        </is>
      </c>
      <c r="C23" s="4" t="inlineStr"/>
      <c r="D23" s="4" t="inlineStr">
        <is>
          <t>Sysco</t>
        </is>
      </c>
      <c r="E23" s="4" t="inlineStr">
        <is>
          <t>Physically counted 2026-08-01</t>
        </is>
      </c>
      <c r="F23" s="4" t="inlineStr">
        <is>
          <t>2026-08-01</t>
        </is>
      </c>
      <c r="G23" s="5" t="n">
        <v>11.5</v>
      </c>
      <c r="H23" s="4" t="inlineStr">
        <is>
          <t>pack</t>
        </is>
      </c>
      <c r="I23" s="5" t="n">
        <v>690</v>
      </c>
      <c r="J23" s="4" t="inlineStr">
        <is>
          <t>each</t>
        </is>
      </c>
      <c r="K23" s="6" t="n">
        <v>0.1071388888888889</v>
      </c>
      <c r="L23" s="6" t="n">
        <v>0.1071388888888889</v>
      </c>
      <c r="M23" s="7">
        <f>I23*K23</f>
        <v/>
      </c>
      <c r="N23" s="7">
        <f>I23*L23</f>
        <v/>
      </c>
      <c r="O23" s="7">
        <f>N23-M23</f>
        <v/>
      </c>
      <c r="P23" s="7" t="n">
        <v>0.1071388888888889</v>
      </c>
      <c r="Q23" s="4" t="inlineStr">
        <is>
          <t>each</t>
        </is>
      </c>
      <c r="R23" s="4" t="inlineStr">
        <is>
          <t>12 case → 60 pack</t>
        </is>
      </c>
    </row>
    <row r="24">
      <c r="A24" s="4" t="inlineStr">
        <is>
          <t>DETERGENT POT/PAN MANUAL</t>
        </is>
      </c>
      <c r="B24" s="4" t="inlineStr">
        <is>
          <t>CHM</t>
        </is>
      </c>
      <c r="C24" s="4" t="inlineStr"/>
      <c r="D24" s="4" t="inlineStr">
        <is>
          <t>Sysco</t>
        </is>
      </c>
      <c r="E24" s="4" t="inlineStr">
        <is>
          <t>Physically counted 2026-08-01</t>
        </is>
      </c>
      <c r="F24" s="4" t="inlineStr">
        <is>
          <t>2026-08-01</t>
        </is>
      </c>
      <c r="G24" s="5" t="n">
        <v>2</v>
      </c>
      <c r="H24" s="4" t="inlineStr">
        <is>
          <t>each</t>
        </is>
      </c>
      <c r="I24" s="5" t="n">
        <v>1814.368</v>
      </c>
      <c r="J24" s="4" t="inlineStr">
        <is>
          <t>g</t>
        </is>
      </c>
      <c r="K24" s="6" t="n">
        <v>0.07302818391858763</v>
      </c>
      <c r="L24" s="6" t="n">
        <v>0.07302818391858763</v>
      </c>
      <c r="M24" s="7">
        <f>I24*K24</f>
        <v/>
      </c>
      <c r="N24" s="7">
        <f>I24*L24</f>
        <v/>
      </c>
      <c r="O24" s="7">
        <f>N24-M24</f>
        <v/>
      </c>
      <c r="P24" s="7" t="n">
        <v>73.02818391858763</v>
      </c>
      <c r="Q24" s="4" t="inlineStr">
        <is>
          <t>kg</t>
        </is>
      </c>
      <c r="R24" s="4" t="inlineStr">
        <is>
          <t>3 case → 907.184 each</t>
        </is>
      </c>
    </row>
    <row r="25">
      <c r="A25" s="4" t="inlineStr">
        <is>
          <t>Butter</t>
        </is>
      </c>
      <c r="B25" s="4" t="inlineStr">
        <is>
          <t>DAIRY</t>
        </is>
      </c>
      <c r="C25" s="4" t="inlineStr">
        <is>
          <t>FRIDGE</t>
        </is>
      </c>
      <c r="D25" s="4" t="inlineStr"/>
      <c r="E25" s="4" t="inlineStr">
        <is>
          <t>Physically counted 2026-08-01</t>
        </is>
      </c>
      <c r="F25" s="4" t="inlineStr">
        <is>
          <t>2026-08-01</t>
        </is>
      </c>
      <c r="G25" s="5" t="n">
        <v>4.5</v>
      </c>
      <c r="H25" s="4" t="inlineStr">
        <is>
          <t>case</t>
        </is>
      </c>
      <c r="I25" s="5" t="n">
        <v>51075</v>
      </c>
      <c r="J25" s="4" t="inlineStr">
        <is>
          <t>g</t>
        </is>
      </c>
      <c r="K25" s="6" t="n">
        <v>0.01522378854625551</v>
      </c>
      <c r="L25" s="6" t="n">
        <v>0.01522378854625551</v>
      </c>
      <c r="M25" s="7">
        <f>I25*K25</f>
        <v/>
      </c>
      <c r="N25" s="7">
        <f>I25*L25</f>
        <v/>
      </c>
      <c r="O25" s="7">
        <f>N25-M25</f>
        <v/>
      </c>
      <c r="P25" s="7" t="n">
        <v>15.22378854625551</v>
      </c>
      <c r="Q25" s="4" t="inlineStr">
        <is>
          <t>kg</t>
        </is>
      </c>
      <c r="R25" s="4" t="inlineStr">
        <is>
          <t>25 case → 454 each</t>
        </is>
      </c>
    </row>
    <row r="26">
      <c r="A26" s="4" t="inlineStr">
        <is>
          <t>Buttermilk</t>
        </is>
      </c>
      <c r="B26" s="4" t="inlineStr">
        <is>
          <t>DAIRY</t>
        </is>
      </c>
      <c r="C26" s="4" t="inlineStr">
        <is>
          <t>FRIDGE</t>
        </is>
      </c>
      <c r="D26" s="4" t="inlineStr"/>
      <c r="E26" s="4" t="inlineStr">
        <is>
          <t>Physically counted 2026-08-01</t>
        </is>
      </c>
      <c r="F26" s="4" t="inlineStr">
        <is>
          <t>2026-08-01</t>
        </is>
      </c>
      <c r="G26" s="5" t="n">
        <v>8</v>
      </c>
      <c r="H26" s="4" t="inlineStr">
        <is>
          <t>each</t>
        </is>
      </c>
      <c r="I26" s="5" t="n">
        <v>32000</v>
      </c>
      <c r="J26" s="4" t="inlineStr">
        <is>
          <t>ml</t>
        </is>
      </c>
      <c r="K26" s="6" t="n">
        <v>0.002755625</v>
      </c>
      <c r="L26" s="6" t="n">
        <v>0.002755625</v>
      </c>
      <c r="M26" s="7">
        <f>I26*K26</f>
        <v/>
      </c>
      <c r="N26" s="7">
        <f>I26*L26</f>
        <v/>
      </c>
      <c r="O26" s="7">
        <f>N26-M26</f>
        <v/>
      </c>
      <c r="P26" s="7" t="n">
        <v>2.755625</v>
      </c>
      <c r="Q26" s="4" t="inlineStr">
        <is>
          <t>L</t>
        </is>
      </c>
      <c r="R26" s="4" t="inlineStr">
        <is>
          <t>4 case → 4000 each</t>
        </is>
      </c>
    </row>
    <row r="27">
      <c r="A27" s="4" t="inlineStr">
        <is>
          <t>Cheddar smoked</t>
        </is>
      </c>
      <c r="B27" s="4" t="inlineStr">
        <is>
          <t>DAIRY</t>
        </is>
      </c>
      <c r="C27" s="4" t="inlineStr">
        <is>
          <t>FRIDGE</t>
        </is>
      </c>
      <c r="D27" s="4" t="inlineStr">
        <is>
          <t>Sysco</t>
        </is>
      </c>
      <c r="E27" s="4" t="inlineStr">
        <is>
          <t>Physically counted 2026-08-01</t>
        </is>
      </c>
      <c r="F27" s="4" t="inlineStr">
        <is>
          <t>2026-08-01</t>
        </is>
      </c>
      <c r="G27" s="5" t="n">
        <v>9.4</v>
      </c>
      <c r="H27" s="4" t="inlineStr">
        <is>
          <t>kg</t>
        </is>
      </c>
      <c r="I27" s="5" t="n">
        <v>9400</v>
      </c>
      <c r="J27" s="4" t="inlineStr">
        <is>
          <t>g</t>
        </is>
      </c>
      <c r="K27" s="6" t="n">
        <v>0.03423</v>
      </c>
      <c r="L27" s="6" t="n">
        <v>0.03423</v>
      </c>
      <c r="M27" s="7">
        <f>I27*K27</f>
        <v/>
      </c>
      <c r="N27" s="7">
        <f>I27*L27</f>
        <v/>
      </c>
      <c r="O27" s="7">
        <f>N27-M27</f>
        <v/>
      </c>
      <c r="P27" s="7" t="n">
        <v>34.23</v>
      </c>
      <c r="Q27" s="4" t="inlineStr">
        <is>
          <t>kg</t>
        </is>
      </c>
      <c r="R27" s="4" t="inlineStr">
        <is>
          <t>1000 case</t>
        </is>
      </c>
    </row>
    <row r="28">
      <c r="A28" s="4" t="inlineStr">
        <is>
          <t>Cheddar whiite</t>
        </is>
      </c>
      <c r="B28" s="4" t="inlineStr">
        <is>
          <t>DAIRY</t>
        </is>
      </c>
      <c r="C28" s="4" t="inlineStr">
        <is>
          <t>FRIDGE</t>
        </is>
      </c>
      <c r="D28" s="4" t="inlineStr"/>
      <c r="E28" s="4" t="inlineStr">
        <is>
          <t>Physically counted 2026-08-01</t>
        </is>
      </c>
      <c r="F28" s="4" t="inlineStr">
        <is>
          <t>2026-08-01</t>
        </is>
      </c>
      <c r="G28" s="5" t="n">
        <v>5</v>
      </c>
      <c r="H28" s="4" t="inlineStr">
        <is>
          <t>kg</t>
        </is>
      </c>
      <c r="I28" s="5" t="n">
        <v>5000</v>
      </c>
      <c r="J28" s="4" t="inlineStr">
        <is>
          <t>g</t>
        </is>
      </c>
      <c r="K28" s="6" t="n">
        <v>0.01910572687224669</v>
      </c>
      <c r="L28" s="6" t="n">
        <v>0.01069823788546256</v>
      </c>
      <c r="M28" s="7">
        <f>I28*K28</f>
        <v/>
      </c>
      <c r="N28" s="7">
        <f>I28*L28</f>
        <v/>
      </c>
      <c r="O28" s="7">
        <f>N28-M28</f>
        <v/>
      </c>
      <c r="P28" s="7" t="n">
        <v>10.69823788546256</v>
      </c>
      <c r="Q28" s="4" t="inlineStr">
        <is>
          <t>kg</t>
        </is>
      </c>
      <c r="R28" s="4" t="inlineStr">
        <is>
          <t>2 case → 2270 each</t>
        </is>
      </c>
    </row>
    <row r="29">
      <c r="A29" s="4" t="inlineStr">
        <is>
          <t>Cream cheese</t>
        </is>
      </c>
      <c r="B29" s="4" t="inlineStr">
        <is>
          <t>DAIRY</t>
        </is>
      </c>
      <c r="C29" s="4" t="inlineStr"/>
      <c r="D29" s="4" t="inlineStr"/>
      <c r="E29" s="4" t="inlineStr">
        <is>
          <t>Physically counted 2026-08-01</t>
        </is>
      </c>
      <c r="F29" s="4" t="inlineStr">
        <is>
          <t>2026-08-01</t>
        </is>
      </c>
      <c r="G29" s="5" t="n">
        <v>1.5</v>
      </c>
      <c r="H29" s="4" t="inlineStr">
        <is>
          <t>kg</t>
        </is>
      </c>
      <c r="I29" s="5" t="n">
        <v>1500</v>
      </c>
      <c r="J29" s="4" t="inlineStr">
        <is>
          <t>g</t>
        </is>
      </c>
      <c r="K29" s="6" t="n">
        <v>0.01541333333333333</v>
      </c>
      <c r="L29" s="6" t="n">
        <v>0.01541333333333333</v>
      </c>
      <c r="M29" s="7">
        <f>I29*K29</f>
        <v/>
      </c>
      <c r="N29" s="7">
        <f>I29*L29</f>
        <v/>
      </c>
      <c r="O29" s="7">
        <f>N29-M29</f>
        <v/>
      </c>
      <c r="P29" s="7" t="n">
        <v>15.41333333333333</v>
      </c>
      <c r="Q29" s="4" t="inlineStr">
        <is>
          <t>kg</t>
        </is>
      </c>
      <c r="R29" s="4" t="inlineStr">
        <is>
          <t>6 case → 1500 each</t>
        </is>
      </c>
    </row>
    <row r="30">
      <c r="A30" s="4" t="inlineStr">
        <is>
          <t>Cream whipped</t>
        </is>
      </c>
      <c r="B30" s="4" t="inlineStr">
        <is>
          <t>DAIRY</t>
        </is>
      </c>
      <c r="C30" s="4" t="inlineStr">
        <is>
          <t>FRIDGE</t>
        </is>
      </c>
      <c r="D30" s="4" t="inlineStr">
        <is>
          <t>Sysco</t>
        </is>
      </c>
      <c r="E30" s="4" t="inlineStr">
        <is>
          <t>Physically counted 2026-08-01</t>
        </is>
      </c>
      <c r="F30" s="4" t="inlineStr">
        <is>
          <t>2026-08-01</t>
        </is>
      </c>
      <c r="G30" s="5" t="n">
        <v>16</v>
      </c>
      <c r="H30" s="4" t="inlineStr">
        <is>
          <t>each</t>
        </is>
      </c>
      <c r="I30" s="5" t="n">
        <v>15136</v>
      </c>
      <c r="J30" s="4" t="inlineStr">
        <is>
          <t>ml</t>
        </is>
      </c>
      <c r="K30" s="6" t="n">
        <v>0.007350687103594081</v>
      </c>
      <c r="L30" s="6" t="n">
        <v>0.007248282241014798</v>
      </c>
      <c r="M30" s="7">
        <f>I30*K30</f>
        <v/>
      </c>
      <c r="N30" s="7">
        <f>I30*L30</f>
        <v/>
      </c>
      <c r="O30" s="7">
        <f>N30-M30</f>
        <v/>
      </c>
      <c r="P30" s="7" t="n">
        <v>7.248282241014798</v>
      </c>
      <c r="Q30" s="4" t="inlineStr">
        <is>
          <t>L</t>
        </is>
      </c>
      <c r="R30" s="4" t="inlineStr">
        <is>
          <t>16 case → 946 each</t>
        </is>
      </c>
    </row>
    <row r="31">
      <c r="A31" s="4" t="inlineStr">
        <is>
          <t>Feta</t>
        </is>
      </c>
      <c r="B31" s="4" t="inlineStr">
        <is>
          <t>DAIRY</t>
        </is>
      </c>
      <c r="C31" s="4" t="inlineStr">
        <is>
          <t>FRIDGE</t>
        </is>
      </c>
      <c r="D31" s="4" t="inlineStr"/>
      <c r="E31" s="4" t="inlineStr">
        <is>
          <t>Physically counted 2026-08-01</t>
        </is>
      </c>
      <c r="F31" s="4" t="inlineStr">
        <is>
          <t>2026-08-01</t>
        </is>
      </c>
      <c r="G31" s="5" t="n">
        <v>2</v>
      </c>
      <c r="H31" s="4" t="inlineStr">
        <is>
          <t>case</t>
        </is>
      </c>
      <c r="I31" s="5" t="n">
        <v>6000</v>
      </c>
      <c r="J31" s="4" t="inlineStr">
        <is>
          <t>g</t>
        </is>
      </c>
      <c r="K31" s="6" t="n">
        <v>0.0174</v>
      </c>
      <c r="L31" s="6" t="n">
        <v>0.0174</v>
      </c>
      <c r="M31" s="7">
        <f>I31*K31</f>
        <v/>
      </c>
      <c r="N31" s="7">
        <f>I31*L31</f>
        <v/>
      </c>
      <c r="O31" s="7">
        <f>N31-M31</f>
        <v/>
      </c>
      <c r="P31" s="7" t="n">
        <v>17.4</v>
      </c>
      <c r="Q31" s="4" t="inlineStr">
        <is>
          <t>kg</t>
        </is>
      </c>
      <c r="R31" s="4" t="inlineStr">
        <is>
          <t>1 case → 3000 each</t>
        </is>
      </c>
    </row>
    <row r="32">
      <c r="A32" s="4" t="inlineStr">
        <is>
          <t>Free Run Eggs</t>
        </is>
      </c>
      <c r="B32" s="4" t="inlineStr">
        <is>
          <t>DAIRY</t>
        </is>
      </c>
      <c r="C32" s="4" t="inlineStr"/>
      <c r="D32" s="4" t="inlineStr">
        <is>
          <t>Sysco</t>
        </is>
      </c>
      <c r="E32" s="4" t="inlineStr">
        <is>
          <t>Physically counted 2026-08-01</t>
        </is>
      </c>
      <c r="F32" s="4" t="inlineStr">
        <is>
          <t>2026-08-01</t>
        </is>
      </c>
      <c r="G32" s="5" t="n">
        <v>19</v>
      </c>
      <c r="H32" s="4" t="inlineStr">
        <is>
          <t>case</t>
        </is>
      </c>
      <c r="I32" s="5" t="n">
        <v>3420</v>
      </c>
      <c r="J32" s="4" t="inlineStr">
        <is>
          <t>each</t>
        </is>
      </c>
      <c r="K32" s="6" t="n">
        <v>0.4333333333333333</v>
      </c>
      <c r="L32" s="6" t="n">
        <v>0.4333333333333333</v>
      </c>
      <c r="M32" s="7">
        <f>I32*K32</f>
        <v/>
      </c>
      <c r="N32" s="7">
        <f>I32*L32</f>
        <v/>
      </c>
      <c r="O32" s="7">
        <f>N32-M32</f>
        <v/>
      </c>
      <c r="P32" s="7" t="n">
        <v>0.4333333333333333</v>
      </c>
      <c r="Q32" s="4" t="inlineStr">
        <is>
          <t>each</t>
        </is>
      </c>
      <c r="R32" s="4" t="inlineStr">
        <is>
          <t>12 case → 15 pack → 1 each</t>
        </is>
      </c>
    </row>
    <row r="33">
      <c r="A33" s="4" t="inlineStr">
        <is>
          <t>Goats Cheese</t>
        </is>
      </c>
      <c r="B33" s="4" t="inlineStr">
        <is>
          <t>DAIRY</t>
        </is>
      </c>
      <c r="C33" s="4" t="inlineStr">
        <is>
          <t>FRIDGE</t>
        </is>
      </c>
      <c r="D33" s="4" t="inlineStr">
        <is>
          <t>Sysco</t>
        </is>
      </c>
      <c r="E33" s="4" t="inlineStr">
        <is>
          <t>Physically counted 2026-08-01</t>
        </is>
      </c>
      <c r="F33" s="4" t="inlineStr">
        <is>
          <t>2026-08-01</t>
        </is>
      </c>
      <c r="G33" s="5" t="n">
        <v>1</v>
      </c>
      <c r="H33" s="4" t="inlineStr">
        <is>
          <t>case</t>
        </is>
      </c>
      <c r="I33" s="5" t="n">
        <v>2000</v>
      </c>
      <c r="J33" s="4" t="inlineStr">
        <is>
          <t>g</t>
        </is>
      </c>
      <c r="K33" s="6" t="n">
        <v>0.029815</v>
      </c>
      <c r="L33" s="6" t="n">
        <v>0.029815</v>
      </c>
      <c r="M33" s="7">
        <f>I33*K33</f>
        <v/>
      </c>
      <c r="N33" s="7">
        <f>I33*L33</f>
        <v/>
      </c>
      <c r="O33" s="7">
        <f>N33-M33</f>
        <v/>
      </c>
      <c r="P33" s="7" t="n">
        <v>29.815</v>
      </c>
      <c r="Q33" s="4" t="inlineStr">
        <is>
          <t>kg</t>
        </is>
      </c>
      <c r="R33" s="4" t="inlineStr">
        <is>
          <t>2 case → 1000 each</t>
        </is>
      </c>
    </row>
    <row r="34">
      <c r="A34" s="4" t="inlineStr">
        <is>
          <t>Grana Padano</t>
        </is>
      </c>
      <c r="B34" s="4" t="inlineStr">
        <is>
          <t>DAIRY</t>
        </is>
      </c>
      <c r="C34" s="4" t="inlineStr">
        <is>
          <t>FRIDGE</t>
        </is>
      </c>
      <c r="D34" s="4" t="inlineStr">
        <is>
          <t>Sysco</t>
        </is>
      </c>
      <c r="E34" s="4" t="inlineStr">
        <is>
          <t>Physically counted 2026-08-01</t>
        </is>
      </c>
      <c r="F34" s="4" t="inlineStr">
        <is>
          <t>2026-08-01</t>
        </is>
      </c>
      <c r="G34" s="5" t="n">
        <v>6.4</v>
      </c>
      <c r="H34" s="4" t="inlineStr">
        <is>
          <t>kg</t>
        </is>
      </c>
      <c r="I34" s="5" t="n">
        <v>6400</v>
      </c>
      <c r="J34" s="4" t="inlineStr">
        <is>
          <t>g</t>
        </is>
      </c>
      <c r="K34" s="6" t="n">
        <v>0.0293</v>
      </c>
      <c r="L34" s="6" t="n">
        <v>0.0293</v>
      </c>
      <c r="M34" s="7">
        <f>I34*K34</f>
        <v/>
      </c>
      <c r="N34" s="7">
        <f>I34*L34</f>
        <v/>
      </c>
      <c r="O34" s="7">
        <f>N34-M34</f>
        <v/>
      </c>
      <c r="P34" s="7" t="n">
        <v>29.3</v>
      </c>
      <c r="Q34" s="4" t="inlineStr">
        <is>
          <t>kg</t>
        </is>
      </c>
      <c r="R34" s="4" t="inlineStr">
        <is>
          <t>1000 case</t>
        </is>
      </c>
    </row>
    <row r="35">
      <c r="A35" s="4" t="inlineStr">
        <is>
          <t>Greek Style Yogurt</t>
        </is>
      </c>
      <c r="B35" s="4" t="inlineStr">
        <is>
          <t>DAIRY</t>
        </is>
      </c>
      <c r="C35" s="4" t="inlineStr">
        <is>
          <t>FRIDGE</t>
        </is>
      </c>
      <c r="D35" s="4" t="inlineStr">
        <is>
          <t>Sysco</t>
        </is>
      </c>
      <c r="E35" s="4" t="inlineStr">
        <is>
          <t>Physically counted 2026-08-01</t>
        </is>
      </c>
      <c r="F35" s="4" t="inlineStr">
        <is>
          <t>2026-08-01</t>
        </is>
      </c>
      <c r="G35" s="5" t="n">
        <v>0</v>
      </c>
      <c r="H35" s="4" t="inlineStr">
        <is>
          <t>each</t>
        </is>
      </c>
      <c r="I35" s="5" t="n">
        <v>0</v>
      </c>
      <c r="J35" s="4" t="inlineStr">
        <is>
          <t>g</t>
        </is>
      </c>
      <c r="K35" s="6" t="n">
        <v>0.007565000000000001</v>
      </c>
      <c r="L35" s="6" t="n">
        <v>0.007565000000000001</v>
      </c>
      <c r="M35" s="7">
        <f>I35*K35</f>
        <v/>
      </c>
      <c r="N35" s="7">
        <f>I35*L35</f>
        <v/>
      </c>
      <c r="O35" s="7">
        <f>N35-M35</f>
        <v/>
      </c>
      <c r="P35" s="7" t="n">
        <v>7.565</v>
      </c>
      <c r="Q35" s="4" t="inlineStr">
        <is>
          <t>kg</t>
        </is>
      </c>
      <c r="R35" s="4" t="inlineStr">
        <is>
          <t>1 each → 4000 each</t>
        </is>
      </c>
    </row>
    <row r="36">
      <c r="A36" s="4" t="inlineStr">
        <is>
          <t>Halloumi</t>
        </is>
      </c>
      <c r="B36" s="4" t="inlineStr">
        <is>
          <t>DAIRY</t>
        </is>
      </c>
      <c r="C36" s="4" t="inlineStr">
        <is>
          <t>FRIDGE</t>
        </is>
      </c>
      <c r="D36" s="4" t="inlineStr">
        <is>
          <t>Sysco</t>
        </is>
      </c>
      <c r="E36" s="4" t="inlineStr">
        <is>
          <t>Physically counted 2026-08-01</t>
        </is>
      </c>
      <c r="F36" s="4" t="inlineStr">
        <is>
          <t>2026-08-01</t>
        </is>
      </c>
      <c r="G36" s="5" t="n">
        <v>5</v>
      </c>
      <c r="H36" s="4" t="inlineStr">
        <is>
          <t>case</t>
        </is>
      </c>
      <c r="I36" s="5" t="n">
        <v>12500</v>
      </c>
      <c r="J36" s="4" t="inlineStr">
        <is>
          <t>g</t>
        </is>
      </c>
      <c r="K36" s="6" t="n">
        <v>0.033176</v>
      </c>
      <c r="L36" s="6" t="n">
        <v>0.033176</v>
      </c>
      <c r="M36" s="7">
        <f>I36*K36</f>
        <v/>
      </c>
      <c r="N36" s="7">
        <f>I36*L36</f>
        <v/>
      </c>
      <c r="O36" s="7">
        <f>N36-M36</f>
        <v/>
      </c>
      <c r="P36" s="7" t="n">
        <v>33.17599999999999</v>
      </c>
      <c r="Q36" s="4" t="inlineStr">
        <is>
          <t>kg</t>
        </is>
      </c>
      <c r="R36" s="4" t="inlineStr">
        <is>
          <t>10 case → 250 each</t>
        </is>
      </c>
    </row>
    <row r="37">
      <c r="A37" s="4" t="inlineStr">
        <is>
          <t>Havarti cheese</t>
        </is>
      </c>
      <c r="B37" s="4" t="inlineStr">
        <is>
          <t>DAIRY</t>
        </is>
      </c>
      <c r="C37" s="4" t="inlineStr">
        <is>
          <t>CATERING</t>
        </is>
      </c>
      <c r="D37" s="4" t="inlineStr">
        <is>
          <t>Sysco</t>
        </is>
      </c>
      <c r="E37" s="4" t="inlineStr">
        <is>
          <t>Physically counted 2026-08-01</t>
        </is>
      </c>
      <c r="F37" s="4" t="inlineStr">
        <is>
          <t>2026-08-01</t>
        </is>
      </c>
      <c r="G37" s="5" t="n">
        <v>2.8</v>
      </c>
      <c r="H37" s="4" t="inlineStr">
        <is>
          <t>kg</t>
        </is>
      </c>
      <c r="I37" s="5" t="n">
        <v>2800</v>
      </c>
      <c r="J37" s="4" t="inlineStr">
        <is>
          <t>g</t>
        </is>
      </c>
      <c r="K37" s="6" t="n">
        <v>0.02186</v>
      </c>
      <c r="L37" s="6" t="n">
        <v>0.02186</v>
      </c>
      <c r="M37" s="7">
        <f>I37*K37</f>
        <v/>
      </c>
      <c r="N37" s="7">
        <f>I37*L37</f>
        <v/>
      </c>
      <c r="O37" s="7">
        <f>N37-M37</f>
        <v/>
      </c>
      <c r="P37" s="7" t="n">
        <v>21.86</v>
      </c>
      <c r="Q37" s="4" t="inlineStr">
        <is>
          <t>kg</t>
        </is>
      </c>
      <c r="R37" s="4" t="inlineStr">
        <is>
          <t>3250 case</t>
        </is>
      </c>
    </row>
    <row r="38">
      <c r="A38" s="4" t="inlineStr">
        <is>
          <t>Heavy Cream 35%</t>
        </is>
      </c>
      <c r="B38" s="4" t="inlineStr">
        <is>
          <t>DAIRY</t>
        </is>
      </c>
      <c r="C38" s="4" t="inlineStr"/>
      <c r="D38" s="4" t="inlineStr">
        <is>
          <t>Snow Cap</t>
        </is>
      </c>
      <c r="E38" s="4" t="inlineStr">
        <is>
          <t>Physically counted 2026-08-01</t>
        </is>
      </c>
      <c r="F38" s="4" t="inlineStr">
        <is>
          <t>2026-08-01</t>
        </is>
      </c>
      <c r="G38" s="5" t="n">
        <v>0</v>
      </c>
      <c r="H38" s="4" t="inlineStr">
        <is>
          <t>case</t>
        </is>
      </c>
      <c r="I38" s="5" t="n">
        <v>0</v>
      </c>
      <c r="J38" s="4" t="inlineStr">
        <is>
          <t>ml</t>
        </is>
      </c>
      <c r="K38" s="6" t="n">
        <v>0.006953750000000001</v>
      </c>
      <c r="L38" s="6" t="n">
        <v>0.006953750000000001</v>
      </c>
      <c r="M38" s="7">
        <f>I38*K38</f>
        <v/>
      </c>
      <c r="N38" s="7">
        <f>I38*L38</f>
        <v/>
      </c>
      <c r="O38" s="7">
        <f>N38-M38</f>
        <v/>
      </c>
      <c r="P38" s="7" t="n">
        <v>6.95375</v>
      </c>
      <c r="Q38" s="4" t="inlineStr">
        <is>
          <t>L</t>
        </is>
      </c>
      <c r="R38" s="4" t="inlineStr">
        <is>
          <t>16 case → 1000 each</t>
        </is>
      </c>
    </row>
    <row r="39">
      <c r="A39" s="4" t="inlineStr">
        <is>
          <t>Liquid Egg Yolk</t>
        </is>
      </c>
      <c r="B39" s="4" t="inlineStr">
        <is>
          <t>DAIRY</t>
        </is>
      </c>
      <c r="C39" s="4" t="inlineStr">
        <is>
          <t>FRIDGE</t>
        </is>
      </c>
      <c r="D39" s="4" t="inlineStr"/>
      <c r="E39" s="4" t="inlineStr">
        <is>
          <t>Physically counted 2026-08-01</t>
        </is>
      </c>
      <c r="F39" s="4" t="inlineStr">
        <is>
          <t>2026-08-01</t>
        </is>
      </c>
      <c r="G39" s="5" t="n">
        <v>13</v>
      </c>
      <c r="H39" s="4" t="inlineStr">
        <is>
          <t>kg</t>
        </is>
      </c>
      <c r="I39" s="5" t="n">
        <v>13000</v>
      </c>
      <c r="J39" s="4" t="inlineStr">
        <is>
          <t>g</t>
        </is>
      </c>
      <c r="K39" s="6" t="n">
        <v>0.008605</v>
      </c>
      <c r="L39" s="6" t="n">
        <v>0.008605</v>
      </c>
      <c r="M39" s="7">
        <f>I39*K39</f>
        <v/>
      </c>
      <c r="N39" s="7">
        <f>I39*L39</f>
        <v/>
      </c>
      <c r="O39" s="7">
        <f>N39-M39</f>
        <v/>
      </c>
      <c r="P39" s="7" t="n">
        <v>8.605</v>
      </c>
      <c r="Q39" s="4" t="inlineStr">
        <is>
          <t>kg</t>
        </is>
      </c>
      <c r="R39" s="4" t="inlineStr">
        <is>
          <t>12 cs → 1000 kg</t>
        </is>
      </c>
    </row>
    <row r="40">
      <c r="A40" s="4" t="inlineStr">
        <is>
          <t>Margerine Vegan</t>
        </is>
      </c>
      <c r="B40" s="4" t="inlineStr">
        <is>
          <t>DAIRY</t>
        </is>
      </c>
      <c r="C40" s="4" t="inlineStr">
        <is>
          <t>FRIDGE</t>
        </is>
      </c>
      <c r="D40" s="4" t="inlineStr"/>
      <c r="E40" s="4" t="inlineStr">
        <is>
          <t>Physically counted 2026-08-01</t>
        </is>
      </c>
      <c r="F40" s="4" t="inlineStr">
        <is>
          <t>2026-08-01</t>
        </is>
      </c>
      <c r="G40" s="5" t="n">
        <v>8</v>
      </c>
      <c r="H40" s="4" t="inlineStr">
        <is>
          <t>kg</t>
        </is>
      </c>
      <c r="I40" s="5" t="n">
        <v>8000</v>
      </c>
      <c r="J40" s="4" t="inlineStr">
        <is>
          <t>g</t>
        </is>
      </c>
      <c r="K40" s="6" t="n">
        <v>0.0073575</v>
      </c>
      <c r="L40" s="6" t="n">
        <v>0.0073575</v>
      </c>
      <c r="M40" s="7">
        <f>I40*K40</f>
        <v/>
      </c>
      <c r="N40" s="7">
        <f>I40*L40</f>
        <v/>
      </c>
      <c r="O40" s="7">
        <f>N40-M40</f>
        <v/>
      </c>
      <c r="P40" s="7" t="n">
        <v>7.3575</v>
      </c>
      <c r="Q40" s="4" t="inlineStr">
        <is>
          <t>kg</t>
        </is>
      </c>
      <c r="R40" s="4" t="inlineStr">
        <is>
          <t>1 each → 8000 each</t>
        </is>
      </c>
    </row>
    <row r="41">
      <c r="A41" s="4" t="inlineStr">
        <is>
          <t>Mascarpone</t>
        </is>
      </c>
      <c r="B41" s="4" t="inlineStr">
        <is>
          <t>DAIRY</t>
        </is>
      </c>
      <c r="C41" s="4" t="inlineStr">
        <is>
          <t>FRIDGE</t>
        </is>
      </c>
      <c r="D41" s="4" t="inlineStr">
        <is>
          <t>Sysco</t>
        </is>
      </c>
      <c r="E41" s="4" t="inlineStr">
        <is>
          <t>Physically counted 2026-08-01</t>
        </is>
      </c>
      <c r="F41" s="4" t="inlineStr">
        <is>
          <t>2026-08-01</t>
        </is>
      </c>
      <c r="G41" s="5" t="n">
        <v>0</v>
      </c>
      <c r="H41" s="4" t="inlineStr">
        <is>
          <t>each</t>
        </is>
      </c>
      <c r="I41" s="5" t="n">
        <v>0</v>
      </c>
      <c r="J41" s="4" t="inlineStr">
        <is>
          <t>g</t>
        </is>
      </c>
      <c r="K41" s="6" t="n">
        <v>0.03141754385964912</v>
      </c>
      <c r="L41" s="6" t="n">
        <v>0.03141754385964912</v>
      </c>
      <c r="M41" s="7">
        <f>I41*K41</f>
        <v/>
      </c>
      <c r="N41" s="7">
        <f>I41*L41</f>
        <v/>
      </c>
      <c r="O41" s="7">
        <f>N41-M41</f>
        <v/>
      </c>
      <c r="P41" s="7" t="n">
        <v>31.41754385964912</v>
      </c>
      <c r="Q41" s="4" t="inlineStr">
        <is>
          <t>kg</t>
        </is>
      </c>
      <c r="R41" s="4" t="inlineStr">
        <is>
          <t>6 case → 475 each</t>
        </is>
      </c>
    </row>
    <row r="42">
      <c r="A42" s="4" t="inlineStr">
        <is>
          <t>Milk Whole HOMOGENIZED</t>
        </is>
      </c>
      <c r="B42" s="4" t="inlineStr">
        <is>
          <t>DAIRY</t>
        </is>
      </c>
      <c r="C42" s="4" t="inlineStr">
        <is>
          <t>FRIDGE</t>
        </is>
      </c>
      <c r="D42" s="4" t="inlineStr">
        <is>
          <t>Snow Cap</t>
        </is>
      </c>
      <c r="E42" s="4" t="inlineStr">
        <is>
          <t>Physically counted 2026-08-01</t>
        </is>
      </c>
      <c r="F42" s="4" t="inlineStr">
        <is>
          <t>2026-08-01</t>
        </is>
      </c>
      <c r="G42" s="5" t="n">
        <v>12</v>
      </c>
      <c r="H42" s="4" t="inlineStr">
        <is>
          <t>each</t>
        </is>
      </c>
      <c r="I42" s="5" t="n">
        <v>48000</v>
      </c>
      <c r="J42" s="4" t="inlineStr">
        <is>
          <t>ml</t>
        </is>
      </c>
      <c r="K42" s="6" t="n">
        <v>0.002219375</v>
      </c>
      <c r="L42" s="6" t="n">
        <v>0.002219375</v>
      </c>
      <c r="M42" s="7">
        <f>I42*K42</f>
        <v/>
      </c>
      <c r="N42" s="7">
        <f>I42*L42</f>
        <v/>
      </c>
      <c r="O42" s="7">
        <f>N42-M42</f>
        <v/>
      </c>
      <c r="P42" s="7" t="n">
        <v>2.219375</v>
      </c>
      <c r="Q42" s="4" t="inlineStr">
        <is>
          <t>L</t>
        </is>
      </c>
      <c r="R42" s="4" t="inlineStr">
        <is>
          <t>4 case → 4000 each</t>
        </is>
      </c>
    </row>
    <row r="43">
      <c r="A43" s="4" t="inlineStr">
        <is>
          <t>Provolone</t>
        </is>
      </c>
      <c r="B43" s="4" t="inlineStr">
        <is>
          <t>DAIRY</t>
        </is>
      </c>
      <c r="C43" s="4" t="inlineStr">
        <is>
          <t>FRIDGE</t>
        </is>
      </c>
      <c r="D43" s="4" t="inlineStr"/>
      <c r="E43" s="4" t="inlineStr">
        <is>
          <t>Physically counted 2026-08-01</t>
        </is>
      </c>
      <c r="F43" s="4" t="inlineStr">
        <is>
          <t>2026-08-01</t>
        </is>
      </c>
      <c r="G43" s="5" t="n">
        <v>0</v>
      </c>
      <c r="H43" s="4" t="inlineStr">
        <is>
          <t>kg</t>
        </is>
      </c>
      <c r="I43" s="5" t="n">
        <v>0</v>
      </c>
      <c r="J43" s="4" t="inlineStr">
        <is>
          <t>g</t>
        </is>
      </c>
      <c r="K43" s="6" t="n">
        <v>0.02308</v>
      </c>
      <c r="L43" s="6" t="n">
        <v>0.02308</v>
      </c>
      <c r="M43" s="7">
        <f>I43*K43</f>
        <v/>
      </c>
      <c r="N43" s="7">
        <f>I43*L43</f>
        <v/>
      </c>
      <c r="O43" s="7">
        <f>N43-M43</f>
        <v/>
      </c>
      <c r="P43" s="7" t="n">
        <v>23.08</v>
      </c>
      <c r="Q43" s="4" t="inlineStr">
        <is>
          <t>kg</t>
        </is>
      </c>
      <c r="R43" s="4" t="inlineStr">
        <is>
          <t>1 each → 1000 each</t>
        </is>
      </c>
    </row>
    <row r="44">
      <c r="A44" s="4" t="inlineStr">
        <is>
          <t>Ricotta</t>
        </is>
      </c>
      <c r="B44" s="4" t="inlineStr">
        <is>
          <t>DAIRY</t>
        </is>
      </c>
      <c r="C44" s="4" t="inlineStr">
        <is>
          <t>FRIDGE</t>
        </is>
      </c>
      <c r="D44" s="4" t="inlineStr">
        <is>
          <t>Sysco</t>
        </is>
      </c>
      <c r="E44" s="4" t="inlineStr">
        <is>
          <t>Physically counted 2026-08-01</t>
        </is>
      </c>
      <c r="F44" s="4" t="inlineStr">
        <is>
          <t>2026-08-01</t>
        </is>
      </c>
      <c r="G44" s="5" t="n">
        <v>0</v>
      </c>
      <c r="H44" s="4" t="inlineStr">
        <is>
          <t>each</t>
        </is>
      </c>
      <c r="I44" s="5" t="n">
        <v>0</v>
      </c>
      <c r="J44" s="4" t="inlineStr">
        <is>
          <t>g</t>
        </is>
      </c>
      <c r="K44" s="6" t="n">
        <v>0.0144625</v>
      </c>
      <c r="L44" s="6" t="n">
        <v>0.0144625</v>
      </c>
      <c r="M44" s="7">
        <f>I44*K44</f>
        <v/>
      </c>
      <c r="N44" s="7">
        <f>I44*L44</f>
        <v/>
      </c>
      <c r="O44" s="7">
        <f>N44-M44</f>
        <v/>
      </c>
      <c r="P44" s="7" t="n">
        <v>14.4625</v>
      </c>
      <c r="Q44" s="4" t="inlineStr">
        <is>
          <t>kg</t>
        </is>
      </c>
      <c r="R44" s="4" t="inlineStr">
        <is>
          <t>1 each → 4000 each</t>
        </is>
      </c>
    </row>
    <row r="45">
      <c r="A45" s="4" t="inlineStr">
        <is>
          <t>Sour Cream</t>
        </is>
      </c>
      <c r="B45" s="4" t="inlineStr">
        <is>
          <t>DAIRY</t>
        </is>
      </c>
      <c r="C45" s="4" t="inlineStr"/>
      <c r="D45" s="4" t="inlineStr">
        <is>
          <t>Sysco</t>
        </is>
      </c>
      <c r="E45" s="4" t="inlineStr">
        <is>
          <t>Physically counted 2026-08-01</t>
        </is>
      </c>
      <c r="F45" s="4" t="inlineStr">
        <is>
          <t>2026-08-01</t>
        </is>
      </c>
      <c r="G45" s="5" t="n">
        <v>1</v>
      </c>
      <c r="H45" s="4" t="inlineStr">
        <is>
          <t>case</t>
        </is>
      </c>
      <c r="I45" s="5" t="n">
        <v>4000</v>
      </c>
      <c r="J45" s="4" t="inlineStr">
        <is>
          <t>ml</t>
        </is>
      </c>
      <c r="K45" s="6" t="n">
        <v>0.00774</v>
      </c>
      <c r="L45" s="6" t="n">
        <v>0.00774</v>
      </c>
      <c r="M45" s="7">
        <f>I45*K45</f>
        <v/>
      </c>
      <c r="N45" s="7">
        <f>I45*L45</f>
        <v/>
      </c>
      <c r="O45" s="7">
        <f>N45-M45</f>
        <v/>
      </c>
      <c r="P45" s="7" t="n">
        <v>7.74</v>
      </c>
      <c r="Q45" s="4" t="inlineStr">
        <is>
          <t>L</t>
        </is>
      </c>
      <c r="R45" s="4" t="inlineStr">
        <is>
          <t>1 case → 4000 each</t>
        </is>
      </c>
    </row>
    <row r="46">
      <c r="A46" s="4" t="inlineStr">
        <is>
          <t>Activated Carbon</t>
        </is>
      </c>
      <c r="B46" s="4" t="inlineStr">
        <is>
          <t>DRY</t>
        </is>
      </c>
      <c r="C46" s="4" t="inlineStr">
        <is>
          <t>PREP-AREA</t>
        </is>
      </c>
      <c r="D46" s="4" t="inlineStr"/>
      <c r="E46" s="4" t="inlineStr">
        <is>
          <t>Physically counted 2026-08-01</t>
        </is>
      </c>
      <c r="F46" s="4" t="inlineStr">
        <is>
          <t>2026-08-01</t>
        </is>
      </c>
      <c r="G46" s="5" t="n">
        <v>0.374</v>
      </c>
      <c r="H46" s="4" t="inlineStr">
        <is>
          <t>kg</t>
        </is>
      </c>
      <c r="I46" s="5" t="n">
        <v>374</v>
      </c>
      <c r="J46" s="4" t="inlineStr">
        <is>
          <t>g</t>
        </is>
      </c>
      <c r="K46" s="6" t="n">
        <v>0.1391189427312775</v>
      </c>
      <c r="L46" s="6" t="n">
        <v>0.1391189427312775</v>
      </c>
      <c r="M46" s="7">
        <f>I46*K46</f>
        <v/>
      </c>
      <c r="N46" s="7">
        <f>I46*L46</f>
        <v/>
      </c>
      <c r="O46" s="7">
        <f>N46-M46</f>
        <v/>
      </c>
      <c r="P46" s="7" t="n">
        <v>139.1189427312775</v>
      </c>
      <c r="Q46" s="4" t="inlineStr">
        <is>
          <t>kg</t>
        </is>
      </c>
      <c r="R46" s="4" t="inlineStr">
        <is>
          <t>1 each → 454 each</t>
        </is>
      </c>
    </row>
    <row r="47">
      <c r="A47" s="4" t="inlineStr">
        <is>
          <t>agar agar</t>
        </is>
      </c>
      <c r="B47" s="4" t="inlineStr">
        <is>
          <t>DRY</t>
        </is>
      </c>
      <c r="C47" s="4" t="inlineStr">
        <is>
          <t>PREP-AREA</t>
        </is>
      </c>
      <c r="D47" s="4" t="inlineStr"/>
      <c r="E47" s="4" t="inlineStr">
        <is>
          <t>Physically counted 2026-08-01</t>
        </is>
      </c>
      <c r="F47" s="4" t="inlineStr">
        <is>
          <t>2026-08-01</t>
        </is>
      </c>
      <c r="G47" s="5" t="n">
        <v>154</v>
      </c>
      <c r="H47" s="4" t="inlineStr">
        <is>
          <t>g</t>
        </is>
      </c>
      <c r="I47" s="5" t="n">
        <v>154</v>
      </c>
      <c r="J47" s="4" t="inlineStr">
        <is>
          <t>g</t>
        </is>
      </c>
      <c r="K47" s="6" t="n">
        <v>0.12368</v>
      </c>
      <c r="L47" s="6" t="n">
        <v>0.12368</v>
      </c>
      <c r="M47" s="7">
        <f>I47*K47</f>
        <v/>
      </c>
      <c r="N47" s="7">
        <f>I47*L47</f>
        <v/>
      </c>
      <c r="O47" s="7">
        <f>N47-M47</f>
        <v/>
      </c>
      <c r="P47" s="7" t="n">
        <v>123.68</v>
      </c>
      <c r="Q47" s="4" t="inlineStr">
        <is>
          <t>kg</t>
        </is>
      </c>
      <c r="R47" s="4" t="inlineStr">
        <is>
          <t>1 each → 500 each</t>
        </is>
      </c>
    </row>
    <row r="48">
      <c r="A48" s="4" t="inlineStr">
        <is>
          <t>All Purpose Flour</t>
        </is>
      </c>
      <c r="B48" s="4" t="inlineStr">
        <is>
          <t>DRY</t>
        </is>
      </c>
      <c r="C48" s="4" t="inlineStr"/>
      <c r="D48" s="4" t="inlineStr"/>
      <c r="E48" s="4" t="inlineStr">
        <is>
          <t>Physically counted 2026-08-01</t>
        </is>
      </c>
      <c r="F48" s="4" t="inlineStr">
        <is>
          <t>2026-08-01</t>
        </is>
      </c>
      <c r="G48" s="5" t="n">
        <v>6.5</v>
      </c>
      <c r="H48" s="4" t="inlineStr">
        <is>
          <t>case</t>
        </is>
      </c>
      <c r="I48" s="5" t="n">
        <v>130000</v>
      </c>
      <c r="J48" s="4" t="inlineStr">
        <is>
          <t>g</t>
        </is>
      </c>
      <c r="K48" s="6" t="n">
        <v>0.002752</v>
      </c>
      <c r="L48" s="6" t="n">
        <v>0.002752</v>
      </c>
      <c r="M48" s="7">
        <f>I48*K48</f>
        <v/>
      </c>
      <c r="N48" s="7">
        <f>I48*L48</f>
        <v/>
      </c>
      <c r="O48" s="7">
        <f>N48-M48</f>
        <v/>
      </c>
      <c r="P48" s="7" t="n">
        <v>2.752</v>
      </c>
      <c r="Q48" s="4" t="inlineStr">
        <is>
          <t>kg</t>
        </is>
      </c>
      <c r="R48" s="4" t="inlineStr">
        <is>
          <t>1 case → 20000 each</t>
        </is>
      </c>
    </row>
    <row r="49">
      <c r="A49" s="4" t="inlineStr">
        <is>
          <t>Allspice</t>
        </is>
      </c>
      <c r="B49" s="4" t="inlineStr">
        <is>
          <t>DRY</t>
        </is>
      </c>
      <c r="C49" s="4" t="inlineStr">
        <is>
          <t>PREP-AREA</t>
        </is>
      </c>
      <c r="D49" s="4" t="inlineStr"/>
      <c r="E49" s="4" t="inlineStr">
        <is>
          <t>Physically counted 2026-08-01</t>
        </is>
      </c>
      <c r="F49" s="4" t="inlineStr">
        <is>
          <t>2026-08-01</t>
        </is>
      </c>
      <c r="G49" s="5" t="n">
        <v>0.7</v>
      </c>
      <c r="H49" s="4" t="inlineStr">
        <is>
          <t>kg</t>
        </is>
      </c>
      <c r="I49" s="5" t="n">
        <v>700</v>
      </c>
      <c r="J49" s="4" t="inlineStr">
        <is>
          <t>g</t>
        </is>
      </c>
      <c r="K49" s="6" t="n">
        <v>0.02926</v>
      </c>
      <c r="L49" s="6" t="n">
        <v>0.02926</v>
      </c>
      <c r="M49" s="7">
        <f>I49*K49</f>
        <v/>
      </c>
      <c r="N49" s="7">
        <f>I49*L49</f>
        <v/>
      </c>
      <c r="O49" s="7">
        <f>N49-M49</f>
        <v/>
      </c>
      <c r="P49" s="7" t="n">
        <v>29.26</v>
      </c>
      <c r="Q49" s="4" t="inlineStr">
        <is>
          <t>kg</t>
        </is>
      </c>
      <c r="R49" s="4" t="inlineStr">
        <is>
          <t>1 each → 1000 each</t>
        </is>
      </c>
    </row>
    <row r="50">
      <c r="A50" s="4" t="inlineStr">
        <is>
          <t>Almond flavor</t>
        </is>
      </c>
      <c r="B50" s="4" t="inlineStr">
        <is>
          <t>DRY</t>
        </is>
      </c>
      <c r="C50" s="4" t="inlineStr">
        <is>
          <t>SATELITE</t>
        </is>
      </c>
      <c r="D50" s="4" t="inlineStr"/>
      <c r="E50" s="4" t="inlineStr">
        <is>
          <t>Physically counted 2026-08-01</t>
        </is>
      </c>
      <c r="F50" s="4" t="inlineStr">
        <is>
          <t>2026-08-01</t>
        </is>
      </c>
      <c r="G50" s="5" t="n">
        <v>0.5</v>
      </c>
      <c r="H50" s="4" t="inlineStr">
        <is>
          <t>l</t>
        </is>
      </c>
      <c r="I50" s="5" t="n">
        <v>500</v>
      </c>
      <c r="J50" s="4" t="inlineStr">
        <is>
          <t>ml</t>
        </is>
      </c>
      <c r="K50" s="6" t="n">
        <v>0.01458</v>
      </c>
      <c r="L50" s="6" t="n">
        <v>0.01458</v>
      </c>
      <c r="M50" s="7">
        <f>I50*K50</f>
        <v/>
      </c>
      <c r="N50" s="7">
        <f>I50*L50</f>
        <v/>
      </c>
      <c r="O50" s="7">
        <f>N50-M50</f>
        <v/>
      </c>
      <c r="P50" s="7" t="n">
        <v>14.58</v>
      </c>
      <c r="Q50" s="4" t="inlineStr">
        <is>
          <t>L</t>
        </is>
      </c>
      <c r="R50" s="4" t="inlineStr">
        <is>
          <t>1 each → 1000 each</t>
        </is>
      </c>
    </row>
    <row r="51">
      <c r="A51" s="4" t="inlineStr">
        <is>
          <t>Almond meal</t>
        </is>
      </c>
      <c r="B51" s="4" t="inlineStr">
        <is>
          <t>DRY</t>
        </is>
      </c>
      <c r="C51" s="4" t="inlineStr">
        <is>
          <t>PREP-AREA</t>
        </is>
      </c>
      <c r="D51" s="4" t="inlineStr"/>
      <c r="E51" s="4" t="inlineStr">
        <is>
          <t>Physically counted 2026-08-01</t>
        </is>
      </c>
      <c r="F51" s="4" t="inlineStr">
        <is>
          <t>2026-08-01</t>
        </is>
      </c>
      <c r="G51" s="5" t="n">
        <v>0</v>
      </c>
      <c r="H51" s="4" t="inlineStr">
        <is>
          <t>each</t>
        </is>
      </c>
      <c r="I51" s="5" t="n">
        <v>0</v>
      </c>
      <c r="J51" s="4" t="inlineStr">
        <is>
          <t>g</t>
        </is>
      </c>
      <c r="K51" s="6" t="n">
        <v>0.016134</v>
      </c>
      <c r="L51" s="6" t="n">
        <v>0.016134</v>
      </c>
      <c r="M51" s="7">
        <f>I51*K51</f>
        <v/>
      </c>
      <c r="N51" s="7">
        <f>I51*L51</f>
        <v/>
      </c>
      <c r="O51" s="7">
        <f>N51-M51</f>
        <v/>
      </c>
      <c r="P51" s="7" t="n">
        <v>16.134</v>
      </c>
      <c r="Q51" s="4" t="inlineStr">
        <is>
          <t>kg</t>
        </is>
      </c>
      <c r="R51" s="4" t="inlineStr">
        <is>
          <t>1 each → 5000 each</t>
        </is>
      </c>
    </row>
    <row r="52">
      <c r="A52" s="4" t="inlineStr">
        <is>
          <t>Almond slices</t>
        </is>
      </c>
      <c r="B52" s="4" t="inlineStr">
        <is>
          <t>DRY</t>
        </is>
      </c>
      <c r="C52" s="4" t="inlineStr">
        <is>
          <t>SATELITE</t>
        </is>
      </c>
      <c r="D52" s="4" t="inlineStr">
        <is>
          <t>Sysco</t>
        </is>
      </c>
      <c r="E52" s="4" t="inlineStr">
        <is>
          <t>Skipped — expected qty at 2026-08-01</t>
        </is>
      </c>
      <c r="F52" s="4" t="inlineStr">
        <is>
          <t>2026-08-01</t>
        </is>
      </c>
      <c r="G52" s="5" t="n">
        <v>1.8</v>
      </c>
      <c r="H52" s="4" t="inlineStr">
        <is>
          <t>kg</t>
        </is>
      </c>
      <c r="I52" s="5" t="n">
        <v>1800</v>
      </c>
      <c r="J52" s="4" t="inlineStr">
        <is>
          <t>g</t>
        </is>
      </c>
      <c r="K52" s="6" t="n">
        <v>0.04894</v>
      </c>
      <c r="L52" s="6" t="n">
        <v>0.04894</v>
      </c>
      <c r="M52" s="7">
        <f>I52*K52</f>
        <v/>
      </c>
      <c r="N52" s="7">
        <f>I52*L52</f>
        <v/>
      </c>
      <c r="O52" s="7">
        <f>N52-M52</f>
        <v/>
      </c>
      <c r="P52" s="7" t="n">
        <v>48.94</v>
      </c>
      <c r="Q52" s="4" t="inlineStr">
        <is>
          <t>kg</t>
        </is>
      </c>
      <c r="R52" s="4" t="inlineStr">
        <is>
          <t>3 case → 1000 each</t>
        </is>
      </c>
    </row>
    <row r="53">
      <c r="A53" s="4" t="inlineStr">
        <is>
          <t>Ancho paste</t>
        </is>
      </c>
      <c r="B53" s="4" t="inlineStr">
        <is>
          <t>DRY</t>
        </is>
      </c>
      <c r="C53" s="4" t="inlineStr">
        <is>
          <t>FREEZER</t>
        </is>
      </c>
      <c r="D53" s="4" t="inlineStr"/>
      <c r="E53" s="4" t="inlineStr">
        <is>
          <t>Physically counted 2026-08-01</t>
        </is>
      </c>
      <c r="F53" s="4" t="inlineStr">
        <is>
          <t>2026-08-01</t>
        </is>
      </c>
      <c r="G53" s="5" t="n">
        <v>0</v>
      </c>
      <c r="H53" s="4" t="inlineStr">
        <is>
          <t>each</t>
        </is>
      </c>
      <c r="I53" s="5" t="n">
        <v>0</v>
      </c>
      <c r="J53" s="4" t="inlineStr">
        <is>
          <t>g</t>
        </is>
      </c>
      <c r="K53" s="6" t="n">
        <v>0.04760162601626016</v>
      </c>
      <c r="L53" s="6" t="n">
        <v>0.04760162601626016</v>
      </c>
      <c r="M53" s="7">
        <f>I53*K53</f>
        <v/>
      </c>
      <c r="N53" s="7">
        <f>I53*L53</f>
        <v/>
      </c>
      <c r="O53" s="7">
        <f>N53-M53</f>
        <v/>
      </c>
      <c r="P53" s="7" t="n">
        <v>47.60162601626016</v>
      </c>
      <c r="Q53" s="4" t="inlineStr">
        <is>
          <t>kg</t>
        </is>
      </c>
      <c r="R53" s="4" t="inlineStr">
        <is>
          <t>6 case → 410 each</t>
        </is>
      </c>
    </row>
    <row r="54">
      <c r="A54" s="4" t="inlineStr">
        <is>
          <t>Anis Seed Whole</t>
        </is>
      </c>
      <c r="B54" s="4" t="inlineStr">
        <is>
          <t>DRY</t>
        </is>
      </c>
      <c r="C54" s="4" t="inlineStr">
        <is>
          <t>PREP-AREA</t>
        </is>
      </c>
      <c r="D54" s="4" t="inlineStr">
        <is>
          <t>Snow Cap</t>
        </is>
      </c>
      <c r="E54" s="4" t="inlineStr">
        <is>
          <t>Physically counted 2026-08-01</t>
        </is>
      </c>
      <c r="F54" s="4" t="inlineStr">
        <is>
          <t>2026-08-01</t>
        </is>
      </c>
      <c r="G54" s="5" t="n">
        <v>1.75</v>
      </c>
      <c r="H54" s="4" t="inlineStr">
        <is>
          <t>kg</t>
        </is>
      </c>
      <c r="I54" s="5" t="n">
        <v>1750</v>
      </c>
      <c r="J54" s="4" t="inlineStr">
        <is>
          <t>g</t>
        </is>
      </c>
      <c r="K54" s="6" t="n">
        <v>0.01859</v>
      </c>
      <c r="L54" s="6" t="n">
        <v>0.01859</v>
      </c>
      <c r="M54" s="7">
        <f>I54*K54</f>
        <v/>
      </c>
      <c r="N54" s="7">
        <f>I54*L54</f>
        <v/>
      </c>
      <c r="O54" s="7">
        <f>N54-M54</f>
        <v/>
      </c>
      <c r="P54" s="7" t="n">
        <v>18.59</v>
      </c>
      <c r="Q54" s="4" t="inlineStr">
        <is>
          <t>kg</t>
        </is>
      </c>
      <c r="R54" s="4" t="inlineStr">
        <is>
          <t>2000 case</t>
        </is>
      </c>
    </row>
    <row r="55">
      <c r="A55" s="4" t="inlineStr">
        <is>
          <t>Apple mustard</t>
        </is>
      </c>
      <c r="B55" s="4" t="inlineStr">
        <is>
          <t>DRY</t>
        </is>
      </c>
      <c r="C55" s="4" t="inlineStr"/>
      <c r="D55" s="4" t="inlineStr"/>
      <c r="E55" s="4" t="inlineStr">
        <is>
          <t>Physically counted 2026-08-01</t>
        </is>
      </c>
      <c r="F55" s="4" t="inlineStr">
        <is>
          <t>2026-08-01</t>
        </is>
      </c>
      <c r="G55" s="5" t="n">
        <v>0</v>
      </c>
      <c r="H55" s="4" t="inlineStr">
        <is>
          <t>g</t>
        </is>
      </c>
      <c r="I55" s="5" t="n">
        <v>0</v>
      </c>
      <c r="J55" s="4" t="inlineStr">
        <is>
          <t>g</t>
        </is>
      </c>
      <c r="K55" s="6" t="n">
        <v>0</v>
      </c>
      <c r="L55" s="6" t="n">
        <v>0</v>
      </c>
      <c r="M55" s="7">
        <f>I55*K55</f>
        <v/>
      </c>
      <c r="N55" s="7">
        <f>I55*L55</f>
        <v/>
      </c>
      <c r="O55" s="7">
        <f>N55-M55</f>
        <v/>
      </c>
      <c r="P55" s="7" t="n">
        <v>0</v>
      </c>
      <c r="Q55" s="4" t="inlineStr">
        <is>
          <t>kg</t>
        </is>
      </c>
      <c r="R55" s="4" t="inlineStr">
        <is>
          <t>1 each → 1 each</t>
        </is>
      </c>
    </row>
    <row r="56">
      <c r="A56" s="4" t="inlineStr">
        <is>
          <t>ascorbic acid</t>
        </is>
      </c>
      <c r="B56" s="4" t="inlineStr">
        <is>
          <t>DRY</t>
        </is>
      </c>
      <c r="C56" s="4" t="inlineStr">
        <is>
          <t>PREP-AREA</t>
        </is>
      </c>
      <c r="D56" s="4" t="inlineStr"/>
      <c r="E56" s="4" t="inlineStr">
        <is>
          <t>Physically counted 2026-08-01</t>
        </is>
      </c>
      <c r="F56" s="4" t="inlineStr">
        <is>
          <t>2026-08-01</t>
        </is>
      </c>
      <c r="G56" s="5" t="n">
        <v>0</v>
      </c>
      <c r="H56" s="4" t="inlineStr">
        <is>
          <t>kg</t>
        </is>
      </c>
      <c r="I56" s="5" t="n">
        <v>0</v>
      </c>
      <c r="J56" s="4" t="inlineStr">
        <is>
          <t>g</t>
        </is>
      </c>
      <c r="K56" s="6" t="n">
        <v>0.04993392070484582</v>
      </c>
      <c r="L56" s="6" t="n">
        <v>0.04993392070484582</v>
      </c>
      <c r="M56" s="7">
        <f>I56*K56</f>
        <v/>
      </c>
      <c r="N56" s="7">
        <f>I56*L56</f>
        <v/>
      </c>
      <c r="O56" s="7">
        <f>N56-M56</f>
        <v/>
      </c>
      <c r="P56" s="7" t="n">
        <v>49.93392070484582</v>
      </c>
      <c r="Q56" s="4" t="inlineStr">
        <is>
          <t>kg</t>
        </is>
      </c>
      <c r="R56" s="4" t="inlineStr">
        <is>
          <t>1 each → 454 each</t>
        </is>
      </c>
    </row>
    <row r="57">
      <c r="A57" s="4" t="inlineStr">
        <is>
          <t>Baking Powder</t>
        </is>
      </c>
      <c r="B57" s="4" t="inlineStr">
        <is>
          <t>DRY</t>
        </is>
      </c>
      <c r="C57" s="4" t="inlineStr">
        <is>
          <t>PREP-AREA</t>
        </is>
      </c>
      <c r="D57" s="4" t="inlineStr">
        <is>
          <t>Sysco</t>
        </is>
      </c>
      <c r="E57" s="4" t="inlineStr">
        <is>
          <t>Physically counted 2026-08-01</t>
        </is>
      </c>
      <c r="F57" s="4" t="inlineStr">
        <is>
          <t>2026-08-01</t>
        </is>
      </c>
      <c r="G57" s="5" t="n">
        <v>5</v>
      </c>
      <c r="H57" s="4" t="inlineStr">
        <is>
          <t>kg</t>
        </is>
      </c>
      <c r="I57" s="5" t="n">
        <v>5000</v>
      </c>
      <c r="J57" s="4" t="inlineStr">
        <is>
          <t>g</t>
        </is>
      </c>
      <c r="K57" s="6" t="n">
        <v>0.01521666666666667</v>
      </c>
      <c r="L57" s="6" t="n">
        <v>0.0056415</v>
      </c>
      <c r="M57" s="7">
        <f>I57*K57</f>
        <v/>
      </c>
      <c r="N57" s="7">
        <f>I57*L57</f>
        <v/>
      </c>
      <c r="O57" s="7">
        <f>N57-M57</f>
        <v/>
      </c>
      <c r="P57" s="7" t="n">
        <v>5.6415</v>
      </c>
      <c r="Q57" s="4" t="inlineStr">
        <is>
          <t>kg</t>
        </is>
      </c>
      <c r="R57" s="4" t="inlineStr">
        <is>
          <t>20000 each</t>
        </is>
      </c>
    </row>
    <row r="58">
      <c r="A58" s="4" t="inlineStr">
        <is>
          <t>Baking Soda</t>
        </is>
      </c>
      <c r="B58" s="4" t="inlineStr">
        <is>
          <t>DRY</t>
        </is>
      </c>
      <c r="C58" s="4" t="inlineStr">
        <is>
          <t>PREP-AREA</t>
        </is>
      </c>
      <c r="D58" s="4" t="inlineStr"/>
      <c r="E58" s="4" t="inlineStr">
        <is>
          <t>Physically counted 2026-08-01</t>
        </is>
      </c>
      <c r="F58" s="4" t="inlineStr">
        <is>
          <t>2026-08-01</t>
        </is>
      </c>
      <c r="G58" s="5" t="n">
        <v>0.765</v>
      </c>
      <c r="H58" s="4" t="inlineStr">
        <is>
          <t>kg</t>
        </is>
      </c>
      <c r="I58" s="5" t="n">
        <v>765</v>
      </c>
      <c r="J58" s="4" t="inlineStr">
        <is>
          <t>g</t>
        </is>
      </c>
      <c r="K58" s="6" t="n">
        <v>0.00375</v>
      </c>
      <c r="L58" s="6" t="n">
        <v>0.00375</v>
      </c>
      <c r="M58" s="7">
        <f>I58*K58</f>
        <v/>
      </c>
      <c r="N58" s="7">
        <f>I58*L58</f>
        <v/>
      </c>
      <c r="O58" s="7">
        <f>N58-M58</f>
        <v/>
      </c>
      <c r="P58" s="7" t="n">
        <v>3.75</v>
      </c>
      <c r="Q58" s="4" t="inlineStr">
        <is>
          <t>kg</t>
        </is>
      </c>
      <c r="R58" s="4" t="inlineStr">
        <is>
          <t>1 each → 5000 each</t>
        </is>
      </c>
    </row>
    <row r="59">
      <c r="A59" s="4" t="inlineStr">
        <is>
          <t>Barley</t>
        </is>
      </c>
      <c r="B59" s="4" t="inlineStr">
        <is>
          <t>DRY</t>
        </is>
      </c>
      <c r="C59" s="4" t="inlineStr">
        <is>
          <t>SATELITE</t>
        </is>
      </c>
      <c r="D59" s="4" t="inlineStr"/>
      <c r="E59" s="4" t="inlineStr">
        <is>
          <t>Physically counted 2026-08-01</t>
        </is>
      </c>
      <c r="F59" s="4" t="inlineStr">
        <is>
          <t>2026-08-01</t>
        </is>
      </c>
      <c r="G59" s="5" t="n">
        <v>0</v>
      </c>
      <c r="H59" s="4" t="inlineStr">
        <is>
          <t>kg</t>
        </is>
      </c>
      <c r="I59" s="5" t="n">
        <v>0</v>
      </c>
      <c r="J59" s="4" t="inlineStr">
        <is>
          <t>g</t>
        </is>
      </c>
      <c r="K59" s="6" t="n">
        <v>0.0024095</v>
      </c>
      <c r="L59" s="6" t="n">
        <v>0.0024095</v>
      </c>
      <c r="M59" s="7">
        <f>I59*K59</f>
        <v/>
      </c>
      <c r="N59" s="7">
        <f>I59*L59</f>
        <v/>
      </c>
      <c r="O59" s="7">
        <f>N59-M59</f>
        <v/>
      </c>
      <c r="P59" s="7" t="n">
        <v>2.4095</v>
      </c>
      <c r="Q59" s="4" t="inlineStr">
        <is>
          <t>kg</t>
        </is>
      </c>
      <c r="R59" s="4" t="inlineStr">
        <is>
          <t>1 each → 20000 each</t>
        </is>
      </c>
    </row>
    <row r="60">
      <c r="A60" s="4" t="inlineStr">
        <is>
          <t>Bay Leaves</t>
        </is>
      </c>
      <c r="B60" s="4" t="inlineStr">
        <is>
          <t>DRY</t>
        </is>
      </c>
      <c r="C60" s="4" t="inlineStr">
        <is>
          <t>PREP-AREA</t>
        </is>
      </c>
      <c r="D60" s="4" t="inlineStr"/>
      <c r="E60" s="4" t="inlineStr">
        <is>
          <t>Physically counted 2026-08-01</t>
        </is>
      </c>
      <c r="F60" s="4" t="inlineStr">
        <is>
          <t>2026-08-01</t>
        </is>
      </c>
      <c r="G60" s="5" t="n">
        <v>1</v>
      </c>
      <c r="H60" s="4" t="inlineStr">
        <is>
          <t>each</t>
        </is>
      </c>
      <c r="I60" s="5" t="n">
        <v>500</v>
      </c>
      <c r="J60" s="4" t="inlineStr">
        <is>
          <t>g</t>
        </is>
      </c>
      <c r="K60" s="6" t="n">
        <v>0.04864</v>
      </c>
      <c r="L60" s="6" t="n">
        <v>0.04864</v>
      </c>
      <c r="M60" s="7">
        <f>I60*K60</f>
        <v/>
      </c>
      <c r="N60" s="7">
        <f>I60*L60</f>
        <v/>
      </c>
      <c r="O60" s="7">
        <f>N60-M60</f>
        <v/>
      </c>
      <c r="P60" s="7" t="n">
        <v>48.64</v>
      </c>
      <c r="Q60" s="4" t="inlineStr">
        <is>
          <t>kg</t>
        </is>
      </c>
      <c r="R60" s="4" t="inlineStr">
        <is>
          <t>1 each → 500 each</t>
        </is>
      </c>
    </row>
    <row r="61">
      <c r="A61" s="4" t="inlineStr">
        <is>
          <t>Beans Dry Black</t>
        </is>
      </c>
      <c r="B61" s="4" t="inlineStr">
        <is>
          <t>DRY</t>
        </is>
      </c>
      <c r="C61" s="4" t="inlineStr">
        <is>
          <t>SATELITE</t>
        </is>
      </c>
      <c r="D61" s="4" t="inlineStr">
        <is>
          <t>Sysco</t>
        </is>
      </c>
      <c r="E61" s="4" t="inlineStr">
        <is>
          <t>Physically counted 2026-08-01</t>
        </is>
      </c>
      <c r="F61" s="4" t="inlineStr">
        <is>
          <t>2026-08-01</t>
        </is>
      </c>
      <c r="G61" s="5" t="n">
        <v>2</v>
      </c>
      <c r="H61" s="4" t="inlineStr">
        <is>
          <t>case</t>
        </is>
      </c>
      <c r="I61" s="5" t="n">
        <v>20000</v>
      </c>
      <c r="J61" s="4" t="inlineStr">
        <is>
          <t>g</t>
        </is>
      </c>
      <c r="K61" s="6" t="n">
        <v>0.003548</v>
      </c>
      <c r="L61" s="6" t="n">
        <v>0.003548</v>
      </c>
      <c r="M61" s="7">
        <f>I61*K61</f>
        <v/>
      </c>
      <c r="N61" s="7">
        <f>I61*L61</f>
        <v/>
      </c>
      <c r="O61" s="7">
        <f>N61-M61</f>
        <v/>
      </c>
      <c r="P61" s="7" t="n">
        <v>3.548</v>
      </c>
      <c r="Q61" s="4" t="inlineStr">
        <is>
          <t>kg</t>
        </is>
      </c>
      <c r="R61" s="4" t="inlineStr">
        <is>
          <t>1 case → 10000 each</t>
        </is>
      </c>
    </row>
    <row r="62">
      <c r="A62" s="4" t="inlineStr">
        <is>
          <t>Beans Dry pinto</t>
        </is>
      </c>
      <c r="B62" s="4" t="inlineStr">
        <is>
          <t>DRY</t>
        </is>
      </c>
      <c r="C62" s="4" t="inlineStr">
        <is>
          <t>SATELITE</t>
        </is>
      </c>
      <c r="D62" s="4" t="inlineStr">
        <is>
          <t>Sysco</t>
        </is>
      </c>
      <c r="E62" s="4" t="inlineStr">
        <is>
          <t>Physically counted 2026-08-01</t>
        </is>
      </c>
      <c r="F62" s="4" t="inlineStr">
        <is>
          <t>2026-08-01</t>
        </is>
      </c>
      <c r="G62" s="5" t="n">
        <v>0</v>
      </c>
      <c r="H62" s="4" t="inlineStr">
        <is>
          <t>kg</t>
        </is>
      </c>
      <c r="I62" s="5" t="n">
        <v>0</v>
      </c>
      <c r="J62" s="4" t="inlineStr">
        <is>
          <t>g</t>
        </is>
      </c>
      <c r="K62" s="6" t="n">
        <v>0.003993500000000001</v>
      </c>
      <c r="L62" s="6" t="n">
        <v>0.003993500000000001</v>
      </c>
      <c r="M62" s="7">
        <f>I62*K62</f>
        <v/>
      </c>
      <c r="N62" s="7">
        <f>I62*L62</f>
        <v/>
      </c>
      <c r="O62" s="7">
        <f>N62-M62</f>
        <v/>
      </c>
      <c r="P62" s="7" t="n">
        <v>3.9935</v>
      </c>
      <c r="Q62" s="4" t="inlineStr">
        <is>
          <t>kg</t>
        </is>
      </c>
      <c r="R62" s="4" t="inlineStr">
        <is>
          <t>1 case → 20000 each</t>
        </is>
      </c>
    </row>
    <row r="63">
      <c r="A63" s="4" t="inlineStr">
        <is>
          <t>Black caraway seeds</t>
        </is>
      </c>
      <c r="B63" s="4" t="inlineStr">
        <is>
          <t>DRY</t>
        </is>
      </c>
      <c r="C63" s="4" t="inlineStr"/>
      <c r="D63" s="4" t="inlineStr"/>
      <c r="E63" s="4" t="inlineStr">
        <is>
          <t>Physically counted 2026-08-01</t>
        </is>
      </c>
      <c r="F63" s="4" t="inlineStr">
        <is>
          <t>2026-08-01</t>
        </is>
      </c>
      <c r="G63" s="5" t="n">
        <v>0</v>
      </c>
      <c r="H63" s="4" t="inlineStr">
        <is>
          <t>kg</t>
        </is>
      </c>
      <c r="I63" s="5" t="n">
        <v>0</v>
      </c>
      <c r="J63" s="4" t="inlineStr">
        <is>
          <t>g</t>
        </is>
      </c>
      <c r="K63" s="6" t="n">
        <v>0.03054945054945055</v>
      </c>
      <c r="L63" s="6" t="n">
        <v>0.03054945054945055</v>
      </c>
      <c r="M63" s="7">
        <f>I63*K63</f>
        <v/>
      </c>
      <c r="N63" s="7">
        <f>I63*L63</f>
        <v/>
      </c>
      <c r="O63" s="7">
        <f>N63-M63</f>
        <v/>
      </c>
      <c r="P63" s="7" t="n">
        <v>30.54945054945055</v>
      </c>
      <c r="Q63" s="4" t="inlineStr">
        <is>
          <t>kg</t>
        </is>
      </c>
      <c r="R63" s="4" t="inlineStr">
        <is>
          <t>1 each → 455 each</t>
        </is>
      </c>
    </row>
    <row r="64">
      <c r="A64" s="4" t="inlineStr">
        <is>
          <t>black garlic</t>
        </is>
      </c>
      <c r="B64" s="4" t="inlineStr">
        <is>
          <t>DRY</t>
        </is>
      </c>
      <c r="C64" s="4" t="inlineStr">
        <is>
          <t>CATERING</t>
        </is>
      </c>
      <c r="D64" s="4" t="inlineStr"/>
      <c r="E64" s="4" t="inlineStr">
        <is>
          <t>Physically counted 2026-08-01</t>
        </is>
      </c>
      <c r="F64" s="4" t="inlineStr">
        <is>
          <t>2026-08-01</t>
        </is>
      </c>
      <c r="G64" s="5" t="n">
        <v>0.35</v>
      </c>
      <c r="H64" s="4" t="inlineStr">
        <is>
          <t>pack</t>
        </is>
      </c>
      <c r="I64" s="5" t="n">
        <v>87.5</v>
      </c>
      <c r="J64" s="4" t="inlineStr">
        <is>
          <t>g</t>
        </is>
      </c>
      <c r="K64" s="6" t="n">
        <v>0.12604</v>
      </c>
      <c r="L64" s="6" t="n">
        <v>0.12604</v>
      </c>
      <c r="M64" s="7">
        <f>I64*K64</f>
        <v/>
      </c>
      <c r="N64" s="7">
        <f>I64*L64</f>
        <v/>
      </c>
      <c r="O64" s="7">
        <f>N64-M64</f>
        <v/>
      </c>
      <c r="P64" s="7" t="n">
        <v>126.04</v>
      </c>
      <c r="Q64" s="4" t="inlineStr">
        <is>
          <t>kg</t>
        </is>
      </c>
      <c r="R64" s="4" t="inlineStr">
        <is>
          <t>1 pack → 250 each</t>
        </is>
      </c>
    </row>
    <row r="65">
      <c r="A65" s="4" t="inlineStr">
        <is>
          <t>Black Peppercorns</t>
        </is>
      </c>
      <c r="B65" s="4" t="inlineStr">
        <is>
          <t>DRY</t>
        </is>
      </c>
      <c r="C65" s="4" t="inlineStr">
        <is>
          <t>PREP-AREA</t>
        </is>
      </c>
      <c r="D65" s="4" t="inlineStr"/>
      <c r="E65" s="4" t="inlineStr">
        <is>
          <t>Physically counted 2026-08-01</t>
        </is>
      </c>
      <c r="F65" s="4" t="inlineStr">
        <is>
          <t>2026-08-01</t>
        </is>
      </c>
      <c r="G65" s="5" t="n">
        <v>2.7</v>
      </c>
      <c r="H65" s="4" t="inlineStr">
        <is>
          <t>kg</t>
        </is>
      </c>
      <c r="I65" s="5" t="n">
        <v>2700</v>
      </c>
      <c r="J65" s="4" t="inlineStr">
        <is>
          <t>g</t>
        </is>
      </c>
      <c r="K65" s="6" t="n">
        <v>0.01988</v>
      </c>
      <c r="L65" s="6" t="n">
        <v>0.01988</v>
      </c>
      <c r="M65" s="7">
        <f>I65*K65</f>
        <v/>
      </c>
      <c r="N65" s="7">
        <f>I65*L65</f>
        <v/>
      </c>
      <c r="O65" s="7">
        <f>N65-M65</f>
        <v/>
      </c>
      <c r="P65" s="7" t="n">
        <v>19.88</v>
      </c>
      <c r="Q65" s="4" t="inlineStr">
        <is>
          <t>kg</t>
        </is>
      </c>
      <c r="R65" s="4" t="inlineStr">
        <is>
          <t>1 each → 2500 each</t>
        </is>
      </c>
    </row>
    <row r="66">
      <c r="A66" s="4" t="inlineStr">
        <is>
          <t>black seasame seed</t>
        </is>
      </c>
      <c r="B66" s="4" t="inlineStr">
        <is>
          <t>DRY</t>
        </is>
      </c>
      <c r="C66" s="4" t="inlineStr">
        <is>
          <t>SATELITE</t>
        </is>
      </c>
      <c r="D66" s="4" t="inlineStr"/>
      <c r="E66" s="4" t="inlineStr">
        <is>
          <t>Physically counted 2026-08-01</t>
        </is>
      </c>
      <c r="F66" s="4" t="inlineStr">
        <is>
          <t>2026-08-01</t>
        </is>
      </c>
      <c r="G66" s="5" t="n">
        <v>0</v>
      </c>
      <c r="H66" s="4" t="inlineStr">
        <is>
          <t>each</t>
        </is>
      </c>
      <c r="I66" s="5" t="n">
        <v>0</v>
      </c>
      <c r="J66" s="4" t="inlineStr">
        <is>
          <t>g</t>
        </is>
      </c>
      <c r="K66" s="6" t="n">
        <v>0.01012</v>
      </c>
      <c r="L66" s="6" t="n">
        <v>0.01012</v>
      </c>
      <c r="M66" s="7">
        <f>I66*K66</f>
        <v/>
      </c>
      <c r="N66" s="7">
        <f>I66*L66</f>
        <v/>
      </c>
      <c r="O66" s="7">
        <f>N66-M66</f>
        <v/>
      </c>
      <c r="P66" s="7" t="n">
        <v>10.12</v>
      </c>
      <c r="Q66" s="4" t="inlineStr">
        <is>
          <t>kg</t>
        </is>
      </c>
      <c r="R66" s="4" t="inlineStr">
        <is>
          <t>1 each → 3000 each</t>
        </is>
      </c>
    </row>
    <row r="67">
      <c r="A67" s="4" t="inlineStr">
        <is>
          <t>Buckwheats</t>
        </is>
      </c>
      <c r="B67" s="4" t="inlineStr">
        <is>
          <t>DRY</t>
        </is>
      </c>
      <c r="C67" s="4" t="inlineStr">
        <is>
          <t>PREP-AREA</t>
        </is>
      </c>
      <c r="D67" s="4" t="inlineStr"/>
      <c r="E67" s="4" t="inlineStr">
        <is>
          <t>Physically counted 2026-08-01</t>
        </is>
      </c>
      <c r="F67" s="4" t="inlineStr">
        <is>
          <t>2026-08-01</t>
        </is>
      </c>
      <c r="G67" s="5" t="n">
        <v>15</v>
      </c>
      <c r="H67" s="4" t="inlineStr">
        <is>
          <t>kg</t>
        </is>
      </c>
      <c r="I67" s="5" t="n">
        <v>15000</v>
      </c>
      <c r="J67" s="4" t="inlineStr">
        <is>
          <t>g</t>
        </is>
      </c>
      <c r="K67" s="6" t="n">
        <v>0.003298941798941799</v>
      </c>
      <c r="L67" s="6" t="n">
        <v>0.003298941798941799</v>
      </c>
      <c r="M67" s="7">
        <f>I67*K67</f>
        <v/>
      </c>
      <c r="N67" s="7">
        <f>I67*L67</f>
        <v/>
      </c>
      <c r="O67" s="7">
        <f>N67-M67</f>
        <v/>
      </c>
      <c r="P67" s="7" t="n">
        <v>3.298941798941799</v>
      </c>
      <c r="Q67" s="4" t="inlineStr">
        <is>
          <t>kg</t>
        </is>
      </c>
      <c r="R67" s="4" t="inlineStr">
        <is>
          <t>1 each → 22680 each</t>
        </is>
      </c>
    </row>
    <row r="68">
      <c r="A68" s="4" t="inlineStr">
        <is>
          <t>CAPER SURFINE</t>
        </is>
      </c>
      <c r="B68" s="4" t="inlineStr">
        <is>
          <t>DRY</t>
        </is>
      </c>
      <c r="C68" s="4" t="inlineStr"/>
      <c r="D68" s="4" t="inlineStr"/>
      <c r="E68" s="4" t="inlineStr">
        <is>
          <t>Physically counted 2026-08-01</t>
        </is>
      </c>
      <c r="F68" s="4" t="inlineStr">
        <is>
          <t>2026-08-01</t>
        </is>
      </c>
      <c r="G68" s="5" t="n">
        <v>1</v>
      </c>
      <c r="H68" s="4" t="inlineStr">
        <is>
          <t>each</t>
        </is>
      </c>
      <c r="I68" s="5" t="n">
        <v>1</v>
      </c>
      <c r="J68" s="4" t="inlineStr">
        <is>
          <t>each</t>
        </is>
      </c>
      <c r="K68" s="6" t="n">
        <v>91.38</v>
      </c>
      <c r="L68" s="6" t="n">
        <v>92.45</v>
      </c>
      <c r="M68" s="7">
        <f>I68*K68</f>
        <v/>
      </c>
      <c r="N68" s="7">
        <f>I68*L68</f>
        <v/>
      </c>
      <c r="O68" s="7">
        <f>N68-M68</f>
        <v/>
      </c>
      <c r="P68" s="7" t="n">
        <v>92.45</v>
      </c>
      <c r="Q68" s="4" t="inlineStr">
        <is>
          <t>each</t>
        </is>
      </c>
      <c r="R68" s="4" t="inlineStr">
        <is>
          <t>1 case → 1 each</t>
        </is>
      </c>
    </row>
    <row r="69">
      <c r="A69" s="4" t="inlineStr">
        <is>
          <t>Capers</t>
        </is>
      </c>
      <c r="B69" s="4" t="inlineStr">
        <is>
          <t>DRY</t>
        </is>
      </c>
      <c r="C69" s="4" t="inlineStr">
        <is>
          <t>PREP-AREA</t>
        </is>
      </c>
      <c r="D69" s="4" t="inlineStr">
        <is>
          <t>Sysco</t>
        </is>
      </c>
      <c r="E69" s="4" t="inlineStr">
        <is>
          <t>Physically counted 2026-08-01</t>
        </is>
      </c>
      <c r="F69" s="4" t="inlineStr">
        <is>
          <t>2026-08-01</t>
        </is>
      </c>
      <c r="G69" s="5" t="n">
        <v>3</v>
      </c>
      <c r="H69" s="4" t="inlineStr">
        <is>
          <t>each</t>
        </is>
      </c>
      <c r="I69" s="5" t="n">
        <v>11340</v>
      </c>
      <c r="J69" s="4" t="inlineStr">
        <is>
          <t>ml</t>
        </is>
      </c>
      <c r="K69" s="6" t="n">
        <v>0.0116468253968254</v>
      </c>
      <c r="L69" s="6" t="n">
        <v>0.0116468253968254</v>
      </c>
      <c r="M69" s="7">
        <f>I69*K69</f>
        <v/>
      </c>
      <c r="N69" s="7">
        <f>I69*L69</f>
        <v/>
      </c>
      <c r="O69" s="7">
        <f>N69-M69</f>
        <v/>
      </c>
      <c r="P69" s="7" t="n">
        <v>11.6468253968254</v>
      </c>
      <c r="Q69" s="4" t="inlineStr">
        <is>
          <t>L</t>
        </is>
      </c>
      <c r="R69" s="4" t="inlineStr">
        <is>
          <t>2 case → 3780 each</t>
        </is>
      </c>
    </row>
    <row r="70">
      <c r="A70" s="4" t="inlineStr">
        <is>
          <t>Caraway Seeds</t>
        </is>
      </c>
      <c r="B70" s="4" t="inlineStr">
        <is>
          <t>DRY</t>
        </is>
      </c>
      <c r="C70" s="4" t="inlineStr">
        <is>
          <t>PREP-AREA</t>
        </is>
      </c>
      <c r="D70" s="4" t="inlineStr"/>
      <c r="E70" s="4" t="inlineStr">
        <is>
          <t>Physically counted 2026-08-01</t>
        </is>
      </c>
      <c r="F70" s="4" t="inlineStr">
        <is>
          <t>2026-08-01</t>
        </is>
      </c>
      <c r="G70" s="5" t="n">
        <v>1</v>
      </c>
      <c r="H70" s="4" t="inlineStr">
        <is>
          <t>kg</t>
        </is>
      </c>
      <c r="I70" s="5" t="n">
        <v>1000</v>
      </c>
      <c r="J70" s="4" t="inlineStr">
        <is>
          <t>g</t>
        </is>
      </c>
      <c r="K70" s="6" t="n">
        <v>0.03054945054945055</v>
      </c>
      <c r="L70" s="6" t="n">
        <v>0.03054945054945055</v>
      </c>
      <c r="M70" s="7">
        <f>I70*K70</f>
        <v/>
      </c>
      <c r="N70" s="7">
        <f>I70*L70</f>
        <v/>
      </c>
      <c r="O70" s="7">
        <f>N70-M70</f>
        <v/>
      </c>
      <c r="P70" s="7" t="n">
        <v>30.54945054945055</v>
      </c>
      <c r="Q70" s="4" t="inlineStr">
        <is>
          <t>kg</t>
        </is>
      </c>
      <c r="R70" s="4" t="inlineStr">
        <is>
          <t>1 each → 455 each</t>
        </is>
      </c>
    </row>
    <row r="71">
      <c r="A71" s="4" t="inlineStr">
        <is>
          <t>Cashews</t>
        </is>
      </c>
      <c r="B71" s="4" t="inlineStr">
        <is>
          <t>DRY</t>
        </is>
      </c>
      <c r="C71" s="4" t="inlineStr">
        <is>
          <t>PREP-AREA</t>
        </is>
      </c>
      <c r="D71" s="4" t="inlineStr">
        <is>
          <t>Sysco</t>
        </is>
      </c>
      <c r="E71" s="4" t="inlineStr">
        <is>
          <t>Physically counted 2026-08-01</t>
        </is>
      </c>
      <c r="F71" s="4" t="inlineStr">
        <is>
          <t>2026-08-01</t>
        </is>
      </c>
      <c r="G71" s="5" t="n">
        <v>7.5</v>
      </c>
      <c r="H71" s="4" t="inlineStr">
        <is>
          <t>kg</t>
        </is>
      </c>
      <c r="I71" s="5" t="n">
        <v>7500</v>
      </c>
      <c r="J71" s="4" t="inlineStr">
        <is>
          <t>g</t>
        </is>
      </c>
      <c r="K71" s="6" t="n">
        <v>0.03302</v>
      </c>
      <c r="L71" s="6" t="n">
        <v>0.03302</v>
      </c>
      <c r="M71" s="7">
        <f>I71*K71</f>
        <v/>
      </c>
      <c r="N71" s="7">
        <f>I71*L71</f>
        <v/>
      </c>
      <c r="O71" s="7">
        <f>N71-M71</f>
        <v/>
      </c>
      <c r="P71" s="7" t="n">
        <v>33.02</v>
      </c>
      <c r="Q71" s="4" t="inlineStr">
        <is>
          <t>kg</t>
        </is>
      </c>
      <c r="R71" s="4" t="inlineStr">
        <is>
          <t>2 case → 1500 each</t>
        </is>
      </c>
    </row>
    <row r="72">
      <c r="A72" s="4" t="inlineStr">
        <is>
          <t>Chana Flour</t>
        </is>
      </c>
      <c r="B72" s="4" t="inlineStr">
        <is>
          <t>DRY</t>
        </is>
      </c>
      <c r="C72" s="4" t="inlineStr"/>
      <c r="D72" s="4" t="inlineStr"/>
      <c r="E72" s="4" t="inlineStr">
        <is>
          <t>Physically counted 2026-08-01</t>
        </is>
      </c>
      <c r="F72" s="4" t="inlineStr">
        <is>
          <t>2026-08-01</t>
        </is>
      </c>
      <c r="G72" s="5" t="n">
        <v>0</v>
      </c>
      <c r="H72" s="4" t="inlineStr">
        <is>
          <t>kg</t>
        </is>
      </c>
      <c r="I72" s="5" t="n">
        <v>0</v>
      </c>
      <c r="J72" s="4" t="inlineStr">
        <is>
          <t>g</t>
        </is>
      </c>
      <c r="K72" s="6" t="n">
        <v>0.003656369600874795</v>
      </c>
      <c r="L72" s="6" t="n">
        <v>0.003656369600874795</v>
      </c>
      <c r="M72" s="7">
        <f>I72*K72</f>
        <v/>
      </c>
      <c r="N72" s="7">
        <f>I72*L72</f>
        <v/>
      </c>
      <c r="O72" s="7">
        <f>N72-M72</f>
        <v/>
      </c>
      <c r="P72" s="7" t="n">
        <v>3.656369600874795</v>
      </c>
      <c r="Q72" s="4" t="inlineStr">
        <is>
          <t>kg</t>
        </is>
      </c>
      <c r="R72" s="4" t="inlineStr">
        <is>
          <t>1 each → 18143.68 each</t>
        </is>
      </c>
    </row>
    <row r="73">
      <c r="A73" s="4" t="inlineStr">
        <is>
          <t>Chestnut flour</t>
        </is>
      </c>
      <c r="B73" s="4" t="inlineStr">
        <is>
          <t>DRY</t>
        </is>
      </c>
      <c r="C73" s="4" t="inlineStr"/>
      <c r="D73" s="4" t="inlineStr"/>
      <c r="E73" s="4" t="inlineStr">
        <is>
          <t>Physically counted 2026-08-01</t>
        </is>
      </c>
      <c r="F73" s="4" t="inlineStr">
        <is>
          <t>2026-08-01</t>
        </is>
      </c>
      <c r="G73" s="5" t="n">
        <v>0.32</v>
      </c>
      <c r="H73" s="4" t="inlineStr">
        <is>
          <t>kg</t>
        </is>
      </c>
      <c r="I73" s="5" t="n">
        <v>320</v>
      </c>
      <c r="J73" s="4" t="inlineStr">
        <is>
          <t>g</t>
        </is>
      </c>
      <c r="K73" s="6" t="n">
        <v>0.0379</v>
      </c>
      <c r="L73" s="6" t="n">
        <v>0.0379</v>
      </c>
      <c r="M73" s="7">
        <f>I73*K73</f>
        <v/>
      </c>
      <c r="N73" s="7">
        <f>I73*L73</f>
        <v/>
      </c>
      <c r="O73" s="7">
        <f>N73-M73</f>
        <v/>
      </c>
      <c r="P73" s="7" t="n">
        <v>37.9</v>
      </c>
      <c r="Q73" s="4" t="inlineStr">
        <is>
          <t>kg</t>
        </is>
      </c>
      <c r="R73" s="4" t="inlineStr">
        <is>
          <t>1 each → 1000 each</t>
        </is>
      </c>
    </row>
    <row r="74">
      <c r="A74" s="4" t="inlineStr">
        <is>
          <t>Chia Seeds</t>
        </is>
      </c>
      <c r="B74" s="4" t="inlineStr">
        <is>
          <t>DRY</t>
        </is>
      </c>
      <c r="C74" s="4" t="inlineStr">
        <is>
          <t>PREP-AREA</t>
        </is>
      </c>
      <c r="D74" s="4" t="inlineStr"/>
      <c r="E74" s="4" t="inlineStr">
        <is>
          <t>Physically counted 2026-08-01</t>
        </is>
      </c>
      <c r="F74" s="4" t="inlineStr">
        <is>
          <t>2026-08-01</t>
        </is>
      </c>
      <c r="G74" s="5" t="n">
        <v>5</v>
      </c>
      <c r="H74" s="4" t="inlineStr">
        <is>
          <t>kg</t>
        </is>
      </c>
      <c r="I74" s="5" t="n">
        <v>5000</v>
      </c>
      <c r="J74" s="4" t="inlineStr">
        <is>
          <t>g</t>
        </is>
      </c>
      <c r="K74" s="6" t="n">
        <v>0.009470000000000001</v>
      </c>
      <c r="L74" s="6" t="n">
        <v>0.009470000000000001</v>
      </c>
      <c r="M74" s="7">
        <f>I74*K74</f>
        <v/>
      </c>
      <c r="N74" s="7">
        <f>I74*L74</f>
        <v/>
      </c>
      <c r="O74" s="7">
        <f>N74-M74</f>
        <v/>
      </c>
      <c r="P74" s="7" t="n">
        <v>9.470000000000001</v>
      </c>
      <c r="Q74" s="4" t="inlineStr">
        <is>
          <t>kg</t>
        </is>
      </c>
      <c r="R74" s="4" t="inlineStr">
        <is>
          <t>1 each → 5000 each</t>
        </is>
      </c>
    </row>
    <row r="75">
      <c r="A75" s="4" t="inlineStr">
        <is>
          <t>Chickpea dry</t>
        </is>
      </c>
      <c r="B75" s="4" t="inlineStr">
        <is>
          <t>DRY</t>
        </is>
      </c>
      <c r="C75" s="4" t="inlineStr"/>
      <c r="D75" s="4" t="inlineStr">
        <is>
          <t>Sysco</t>
        </is>
      </c>
      <c r="E75" s="4" t="inlineStr">
        <is>
          <t>Physically counted 2026-08-01</t>
        </is>
      </c>
      <c r="F75" s="4" t="inlineStr">
        <is>
          <t>2026-08-01</t>
        </is>
      </c>
      <c r="G75" s="5" t="n">
        <v>4.3</v>
      </c>
      <c r="H75" s="4" t="inlineStr">
        <is>
          <t>kg</t>
        </is>
      </c>
      <c r="I75" s="5" t="n">
        <v>4300</v>
      </c>
      <c r="J75" s="4" t="inlineStr">
        <is>
          <t>g</t>
        </is>
      </c>
      <c r="K75" s="6" t="n">
        <v>0.004536283185840708</v>
      </c>
      <c r="L75" s="6" t="n">
        <v>0.004536283185840708</v>
      </c>
      <c r="M75" s="7">
        <f>I75*K75</f>
        <v/>
      </c>
      <c r="N75" s="7">
        <f>I75*L75</f>
        <v/>
      </c>
      <c r="O75" s="7">
        <f>N75-M75</f>
        <v/>
      </c>
      <c r="P75" s="7" t="n">
        <v>4.536283185840707</v>
      </c>
      <c r="Q75" s="4" t="inlineStr">
        <is>
          <t>kg</t>
        </is>
      </c>
      <c r="R75" s="4" t="inlineStr">
        <is>
          <t>1 each → 11300 each</t>
        </is>
      </c>
    </row>
    <row r="76">
      <c r="A76" s="4" t="inlineStr">
        <is>
          <t>Chickpea Flour</t>
        </is>
      </c>
      <c r="B76" s="4" t="inlineStr">
        <is>
          <t>DRY</t>
        </is>
      </c>
      <c r="C76" s="4" t="inlineStr">
        <is>
          <t>PREP-AREA</t>
        </is>
      </c>
      <c r="D76" s="4" t="inlineStr"/>
      <c r="E76" s="4" t="inlineStr">
        <is>
          <t>Physically counted 2026-08-01</t>
        </is>
      </c>
      <c r="F76" s="4" t="inlineStr">
        <is>
          <t>2026-08-01</t>
        </is>
      </c>
      <c r="G76" s="5" t="n">
        <v>3</v>
      </c>
      <c r="H76" s="4" t="inlineStr">
        <is>
          <t>kg</t>
        </is>
      </c>
      <c r="I76" s="5" t="n">
        <v>3000</v>
      </c>
      <c r="J76" s="4" t="inlineStr">
        <is>
          <t>g</t>
        </is>
      </c>
      <c r="K76" s="6" t="n">
        <v>0.007579000000000001</v>
      </c>
      <c r="L76" s="6" t="n">
        <v>0.007579000000000001</v>
      </c>
      <c r="M76" s="7">
        <f>I76*K76</f>
        <v/>
      </c>
      <c r="N76" s="7">
        <f>I76*L76</f>
        <v/>
      </c>
      <c r="O76" s="7">
        <f>N76-M76</f>
        <v/>
      </c>
      <c r="P76" s="7" t="n">
        <v>7.579000000000001</v>
      </c>
      <c r="Q76" s="4" t="inlineStr">
        <is>
          <t>kg</t>
        </is>
      </c>
      <c r="R76" s="4" t="inlineStr">
        <is>
          <t>1 each → 10000 each</t>
        </is>
      </c>
    </row>
    <row r="77">
      <c r="A77" s="4" t="inlineStr">
        <is>
          <t>Chocolate white</t>
        </is>
      </c>
      <c r="B77" s="4" t="inlineStr">
        <is>
          <t>DRY</t>
        </is>
      </c>
      <c r="C77" s="4" t="inlineStr"/>
      <c r="D77" s="4" t="inlineStr">
        <is>
          <t>Sysco</t>
        </is>
      </c>
      <c r="E77" s="4" t="inlineStr">
        <is>
          <t>Physically counted 2026-08-01</t>
        </is>
      </c>
      <c r="F77" s="4" t="inlineStr">
        <is>
          <t>2026-08-01</t>
        </is>
      </c>
      <c r="G77" s="5" t="n">
        <v>7.5</v>
      </c>
      <c r="H77" s="4" t="inlineStr">
        <is>
          <t>kg</t>
        </is>
      </c>
      <c r="I77" s="5" t="n">
        <v>7500</v>
      </c>
      <c r="J77" s="4" t="inlineStr">
        <is>
          <t>g</t>
        </is>
      </c>
      <c r="K77" s="6" t="n">
        <v>0.027812</v>
      </c>
      <c r="L77" s="6" t="n">
        <v>0.027812</v>
      </c>
      <c r="M77" s="7">
        <f>I77*K77</f>
        <v/>
      </c>
      <c r="N77" s="7">
        <f>I77*L77</f>
        <v/>
      </c>
      <c r="O77" s="7">
        <f>N77-M77</f>
        <v/>
      </c>
      <c r="P77" s="7" t="n">
        <v>27.812</v>
      </c>
      <c r="Q77" s="4" t="inlineStr">
        <is>
          <t>kg</t>
        </is>
      </c>
      <c r="R77" s="4" t="inlineStr">
        <is>
          <t>1 case → 5000 each</t>
        </is>
      </c>
    </row>
    <row r="78">
      <c r="A78" s="4" t="inlineStr">
        <is>
          <t>Cinammon Ground</t>
        </is>
      </c>
      <c r="B78" s="4" t="inlineStr">
        <is>
          <t>DRY</t>
        </is>
      </c>
      <c r="C78" s="4" t="inlineStr"/>
      <c r="D78" s="4" t="inlineStr"/>
      <c r="E78" s="4" t="inlineStr">
        <is>
          <t>Physically counted 2026-08-01</t>
        </is>
      </c>
      <c r="F78" s="4" t="inlineStr">
        <is>
          <t>2026-08-01</t>
        </is>
      </c>
      <c r="G78" s="5" t="n">
        <v>1.373</v>
      </c>
      <c r="H78" s="4" t="inlineStr">
        <is>
          <t>kg</t>
        </is>
      </c>
      <c r="I78" s="5" t="n">
        <v>1373</v>
      </c>
      <c r="J78" s="4" t="inlineStr">
        <is>
          <t>g</t>
        </is>
      </c>
      <c r="K78" s="6" t="n">
        <v>0.045145</v>
      </c>
      <c r="L78" s="6" t="n">
        <v>0.045145</v>
      </c>
      <c r="M78" s="7">
        <f>I78*K78</f>
        <v/>
      </c>
      <c r="N78" s="7">
        <f>I78*L78</f>
        <v/>
      </c>
      <c r="O78" s="7">
        <f>N78-M78</f>
        <v/>
      </c>
      <c r="P78" s="7" t="n">
        <v>45.145</v>
      </c>
      <c r="Q78" s="4" t="inlineStr">
        <is>
          <t>kg</t>
        </is>
      </c>
      <c r="R78" s="4" t="inlineStr">
        <is>
          <t>1 each → 2000 each</t>
        </is>
      </c>
    </row>
    <row r="79">
      <c r="A79" s="4" t="inlineStr">
        <is>
          <t>Cinnamon stick</t>
        </is>
      </c>
      <c r="B79" s="4" t="inlineStr">
        <is>
          <t>DRY</t>
        </is>
      </c>
      <c r="C79" s="4" t="inlineStr">
        <is>
          <t>PREP-AREA</t>
        </is>
      </c>
      <c r="D79" s="4" t="inlineStr">
        <is>
          <t>Sysco</t>
        </is>
      </c>
      <c r="E79" s="4" t="inlineStr">
        <is>
          <t>Physically counted 2026-08-01</t>
        </is>
      </c>
      <c r="F79" s="4" t="inlineStr">
        <is>
          <t>2026-08-01</t>
        </is>
      </c>
      <c r="G79" s="5" t="n">
        <v>1</v>
      </c>
      <c r="H79" s="4" t="inlineStr">
        <is>
          <t>kg</t>
        </is>
      </c>
      <c r="I79" s="5" t="n">
        <v>1000</v>
      </c>
      <c r="J79" s="4" t="inlineStr">
        <is>
          <t>g</t>
        </is>
      </c>
      <c r="K79" s="6" t="n">
        <v>0.06551101321585903</v>
      </c>
      <c r="L79" s="6" t="n">
        <v>0.06551101321585903</v>
      </c>
      <c r="M79" s="7">
        <f>I79*K79</f>
        <v/>
      </c>
      <c r="N79" s="7">
        <f>I79*L79</f>
        <v/>
      </c>
      <c r="O79" s="7">
        <f>N79-M79</f>
        <v/>
      </c>
      <c r="P79" s="7" t="n">
        <v>65.51101321585904</v>
      </c>
      <c r="Q79" s="4" t="inlineStr">
        <is>
          <t>kg</t>
        </is>
      </c>
      <c r="R79" s="4" t="inlineStr">
        <is>
          <t>1 case → 2270 each</t>
        </is>
      </c>
    </row>
    <row r="80">
      <c r="A80" s="4" t="inlineStr">
        <is>
          <t>citric acid</t>
        </is>
      </c>
      <c r="B80" s="4" t="inlineStr">
        <is>
          <t>DRY</t>
        </is>
      </c>
      <c r="C80" s="4" t="inlineStr">
        <is>
          <t>PREP-AREA</t>
        </is>
      </c>
      <c r="D80" s="4" t="inlineStr"/>
      <c r="E80" s="4" t="inlineStr">
        <is>
          <t>Physically counted 2026-08-01</t>
        </is>
      </c>
      <c r="F80" s="4" t="inlineStr">
        <is>
          <t>2026-08-01</t>
        </is>
      </c>
      <c r="G80" s="5" t="n">
        <v>0.06</v>
      </c>
      <c r="H80" s="4" t="inlineStr">
        <is>
          <t>kg</t>
        </is>
      </c>
      <c r="I80" s="5" t="n">
        <v>60</v>
      </c>
      <c r="J80" s="4" t="inlineStr">
        <is>
          <t>g</t>
        </is>
      </c>
      <c r="K80" s="6" t="n">
        <v>0.01636</v>
      </c>
      <c r="L80" s="6" t="n">
        <v>0.01636</v>
      </c>
      <c r="M80" s="7">
        <f>I80*K80</f>
        <v/>
      </c>
      <c r="N80" s="7">
        <f>I80*L80</f>
        <v/>
      </c>
      <c r="O80" s="7">
        <f>N80-M80</f>
        <v/>
      </c>
      <c r="P80" s="7" t="n">
        <v>16.36</v>
      </c>
      <c r="Q80" s="4" t="inlineStr">
        <is>
          <t>kg</t>
        </is>
      </c>
      <c r="R80" s="4" t="inlineStr">
        <is>
          <t>1 each → 1000 each</t>
        </is>
      </c>
    </row>
    <row r="81">
      <c r="A81" s="4" t="inlineStr">
        <is>
          <t>cocoa butter chips</t>
        </is>
      </c>
      <c r="B81" s="4" t="inlineStr">
        <is>
          <t>DRY</t>
        </is>
      </c>
      <c r="C81" s="4" t="inlineStr"/>
      <c r="D81" s="4" t="inlineStr"/>
      <c r="E81" s="4" t="inlineStr">
        <is>
          <t>Physically counted 2026-08-01</t>
        </is>
      </c>
      <c r="F81" s="4" t="inlineStr">
        <is>
          <t>2026-08-01</t>
        </is>
      </c>
      <c r="G81" s="5" t="n">
        <v>0.6</v>
      </c>
      <c r="H81" s="4" t="inlineStr">
        <is>
          <t>kg</t>
        </is>
      </c>
      <c r="I81" s="5" t="n">
        <v>600</v>
      </c>
      <c r="J81" s="4" t="inlineStr">
        <is>
          <t>g</t>
        </is>
      </c>
      <c r="K81" s="6" t="n">
        <v>0.06968666666666666</v>
      </c>
      <c r="L81" s="6" t="n">
        <v>0.06968666666666666</v>
      </c>
      <c r="M81" s="7">
        <f>I81*K81</f>
        <v/>
      </c>
      <c r="N81" s="7">
        <f>I81*L81</f>
        <v/>
      </c>
      <c r="O81" s="7">
        <f>N81-M81</f>
        <v/>
      </c>
      <c r="P81" s="7" t="n">
        <v>69.68666666666667</v>
      </c>
      <c r="Q81" s="4" t="inlineStr">
        <is>
          <t>kg</t>
        </is>
      </c>
      <c r="R81" s="4" t="inlineStr">
        <is>
          <t>1 each → 3000 each</t>
        </is>
      </c>
    </row>
    <row r="82">
      <c r="A82" s="4" t="inlineStr">
        <is>
          <t>Cocoa Nibs</t>
        </is>
      </c>
      <c r="B82" s="4" t="inlineStr">
        <is>
          <t>DRY</t>
        </is>
      </c>
      <c r="C82" s="4" t="inlineStr"/>
      <c r="D82" s="4" t="inlineStr"/>
      <c r="E82" s="4" t="inlineStr">
        <is>
          <t>Physically counted 2026-08-01</t>
        </is>
      </c>
      <c r="F82" s="4" t="inlineStr">
        <is>
          <t>2026-08-01</t>
        </is>
      </c>
      <c r="G82" s="5" t="n">
        <v>0.4</v>
      </c>
      <c r="H82" s="4" t="inlineStr">
        <is>
          <t>pack</t>
        </is>
      </c>
      <c r="I82" s="5" t="n">
        <v>400</v>
      </c>
      <c r="J82" s="4" t="inlineStr">
        <is>
          <t>g</t>
        </is>
      </c>
      <c r="K82" s="6" t="n">
        <v>0.043</v>
      </c>
      <c r="L82" s="6" t="n">
        <v>0.043</v>
      </c>
      <c r="M82" s="7">
        <f>I82*K82</f>
        <v/>
      </c>
      <c r="N82" s="7">
        <f>I82*L82</f>
        <v/>
      </c>
      <c r="O82" s="7">
        <f>N82-M82</f>
        <v/>
      </c>
      <c r="P82" s="7" t="n">
        <v>43</v>
      </c>
      <c r="Q82" s="4" t="inlineStr">
        <is>
          <t>kg</t>
        </is>
      </c>
      <c r="R82" s="4" t="inlineStr">
        <is>
          <t>1 pack → 1000 each</t>
        </is>
      </c>
    </row>
    <row r="83">
      <c r="A83" s="4" t="inlineStr">
        <is>
          <t>Cocoa powder</t>
        </is>
      </c>
      <c r="B83" s="4" t="inlineStr">
        <is>
          <t>DRY</t>
        </is>
      </c>
      <c r="C83" s="4" t="inlineStr"/>
      <c r="D83" s="4" t="inlineStr"/>
      <c r="E83" s="4" t="inlineStr">
        <is>
          <t>Physically counted 2026-08-01</t>
        </is>
      </c>
      <c r="F83" s="4" t="inlineStr">
        <is>
          <t>2026-08-01</t>
        </is>
      </c>
      <c r="G83" s="5" t="n">
        <v>0.388</v>
      </c>
      <c r="H83" s="4" t="inlineStr">
        <is>
          <t>kg</t>
        </is>
      </c>
      <c r="I83" s="5" t="n">
        <v>388</v>
      </c>
      <c r="J83" s="4" t="inlineStr">
        <is>
          <t>g</t>
        </is>
      </c>
      <c r="K83" s="6" t="n">
        <v>0.04725333333333333</v>
      </c>
      <c r="L83" s="6" t="n">
        <v>0.04725333333333333</v>
      </c>
      <c r="M83" s="7">
        <f>I83*K83</f>
        <v/>
      </c>
      <c r="N83" s="7">
        <f>I83*L83</f>
        <v/>
      </c>
      <c r="O83" s="7">
        <f>N83-M83</f>
        <v/>
      </c>
      <c r="P83" s="7" t="n">
        <v>47.25333333333333</v>
      </c>
      <c r="Q83" s="4" t="inlineStr">
        <is>
          <t>kg</t>
        </is>
      </c>
      <c r="R83" s="4" t="inlineStr">
        <is>
          <t>3 case → 1000 each</t>
        </is>
      </c>
    </row>
    <row r="84">
      <c r="A84" s="4" t="inlineStr">
        <is>
          <t>Coconut fine repack</t>
        </is>
      </c>
      <c r="B84" s="4" t="inlineStr">
        <is>
          <t>DRY</t>
        </is>
      </c>
      <c r="C84" s="4" t="inlineStr">
        <is>
          <t>SATELITE</t>
        </is>
      </c>
      <c r="D84" s="4" t="inlineStr"/>
      <c r="E84" s="4" t="inlineStr">
        <is>
          <t>Physically counted 2026-08-01</t>
        </is>
      </c>
      <c r="F84" s="4" t="inlineStr">
        <is>
          <t>2026-08-01</t>
        </is>
      </c>
      <c r="G84" s="5" t="n">
        <v>1.846</v>
      </c>
      <c r="H84" s="4" t="inlineStr">
        <is>
          <t>kg</t>
        </is>
      </c>
      <c r="I84" s="5" t="n">
        <v>1846</v>
      </c>
      <c r="J84" s="4" t="inlineStr">
        <is>
          <t>g</t>
        </is>
      </c>
      <c r="K84" s="6" t="n">
        <v>0.009568</v>
      </c>
      <c r="L84" s="6" t="n">
        <v>0.009568</v>
      </c>
      <c r="M84" s="7">
        <f>I84*K84</f>
        <v/>
      </c>
      <c r="N84" s="7">
        <f>I84*L84</f>
        <v/>
      </c>
      <c r="O84" s="7">
        <f>N84-M84</f>
        <v/>
      </c>
      <c r="P84" s="7" t="n">
        <v>9.568</v>
      </c>
      <c r="Q84" s="4" t="inlineStr">
        <is>
          <t>kg</t>
        </is>
      </c>
      <c r="R84" s="4" t="inlineStr">
        <is>
          <t>1 each → 5000 each</t>
        </is>
      </c>
    </row>
    <row r="85">
      <c r="A85" s="4" t="inlineStr">
        <is>
          <t>coconut milk</t>
        </is>
      </c>
      <c r="B85" s="4" t="inlineStr">
        <is>
          <t>DRY</t>
        </is>
      </c>
      <c r="C85" s="4" t="inlineStr">
        <is>
          <t>PREP-AREA</t>
        </is>
      </c>
      <c r="D85" s="4" t="inlineStr">
        <is>
          <t>Sysco</t>
        </is>
      </c>
      <c r="E85" s="4" t="inlineStr">
        <is>
          <t>Physically counted 2026-08-01</t>
        </is>
      </c>
      <c r="F85" s="4" t="inlineStr">
        <is>
          <t>2026-08-01</t>
        </is>
      </c>
      <c r="G85" s="5" t="n">
        <v>0</v>
      </c>
      <c r="H85" s="4" t="inlineStr">
        <is>
          <t>each</t>
        </is>
      </c>
      <c r="I85" s="5" t="n">
        <v>0</v>
      </c>
      <c r="J85" s="4" t="inlineStr">
        <is>
          <t>ml</t>
        </is>
      </c>
      <c r="K85" s="6" t="n">
        <v>0.008687500000000001</v>
      </c>
      <c r="L85" s="6" t="n">
        <v>0.007033321600375455</v>
      </c>
      <c r="M85" s="7">
        <f>I85*K85</f>
        <v/>
      </c>
      <c r="N85" s="7">
        <f>I85*L85</f>
        <v/>
      </c>
      <c r="O85" s="7">
        <f>N85-M85</f>
        <v/>
      </c>
      <c r="P85" s="7" t="n">
        <v>7.033321600375454</v>
      </c>
      <c r="Q85" s="4" t="inlineStr">
        <is>
          <t>L</t>
        </is>
      </c>
      <c r="R85" s="4" t="inlineStr">
        <is>
          <t>17046 case</t>
        </is>
      </c>
    </row>
    <row r="86">
      <c r="A86" s="4" t="inlineStr">
        <is>
          <t>Coconut Oil</t>
        </is>
      </c>
      <c r="B86" s="4" t="inlineStr">
        <is>
          <t>DRY</t>
        </is>
      </c>
      <c r="C86" s="4" t="inlineStr">
        <is>
          <t>PREP-AREA</t>
        </is>
      </c>
      <c r="D86" s="4" t="inlineStr"/>
      <c r="E86" s="4" t="inlineStr">
        <is>
          <t>Physically counted 2026-08-01</t>
        </is>
      </c>
      <c r="F86" s="4" t="inlineStr">
        <is>
          <t>2026-08-01</t>
        </is>
      </c>
      <c r="G86" s="5" t="n">
        <v>18</v>
      </c>
      <c r="H86" s="4" t="inlineStr">
        <is>
          <t>kg</t>
        </is>
      </c>
      <c r="I86" s="5" t="n">
        <v>18000</v>
      </c>
      <c r="J86" s="4" t="inlineStr">
        <is>
          <t>g</t>
        </is>
      </c>
      <c r="K86" s="6" t="n">
        <v>0.01115533333333333</v>
      </c>
      <c r="L86" s="6" t="n">
        <v>0.01115533333333333</v>
      </c>
      <c r="M86" s="7">
        <f>I86*K86</f>
        <v/>
      </c>
      <c r="N86" s="7">
        <f>I86*L86</f>
        <v/>
      </c>
      <c r="O86" s="7">
        <f>N86-M86</f>
        <v/>
      </c>
      <c r="P86" s="7" t="n">
        <v>11.15533333333333</v>
      </c>
      <c r="Q86" s="4" t="inlineStr">
        <is>
          <t>kg</t>
        </is>
      </c>
      <c r="R86" s="4" t="inlineStr">
        <is>
          <t>1 each → 15000 each</t>
        </is>
      </c>
    </row>
    <row r="87">
      <c r="A87" s="4" t="inlineStr">
        <is>
          <t>Coconut ribbons</t>
        </is>
      </c>
      <c r="B87" s="4" t="inlineStr">
        <is>
          <t>DRY</t>
        </is>
      </c>
      <c r="C87" s="4" t="inlineStr">
        <is>
          <t>PREP-AREA</t>
        </is>
      </c>
      <c r="D87" s="4" t="inlineStr"/>
      <c r="E87" s="4" t="inlineStr">
        <is>
          <t>Physically counted 2026-08-01</t>
        </is>
      </c>
      <c r="F87" s="4" t="inlineStr">
        <is>
          <t>2026-08-01</t>
        </is>
      </c>
      <c r="G87" s="5" t="n">
        <v>0</v>
      </c>
      <c r="H87" s="4" t="inlineStr">
        <is>
          <t>kg</t>
        </is>
      </c>
      <c r="I87" s="5" t="n">
        <v>0</v>
      </c>
      <c r="J87" s="4" t="inlineStr">
        <is>
          <t>g</t>
        </is>
      </c>
      <c r="K87" s="6" t="n">
        <v>0.011246</v>
      </c>
      <c r="L87" s="6" t="n">
        <v>0.011246</v>
      </c>
      <c r="M87" s="7">
        <f>I87*K87</f>
        <v/>
      </c>
      <c r="N87" s="7">
        <f>I87*L87</f>
        <v/>
      </c>
      <c r="O87" s="7">
        <f>N87-M87</f>
        <v/>
      </c>
      <c r="P87" s="7" t="n">
        <v>11.246</v>
      </c>
      <c r="Q87" s="4" t="inlineStr">
        <is>
          <t>kg</t>
        </is>
      </c>
      <c r="R87" s="4" t="inlineStr">
        <is>
          <t>1 each → 5000 each</t>
        </is>
      </c>
    </row>
    <row r="88">
      <c r="A88" s="4" t="inlineStr">
        <is>
          <t>Coffee Ground</t>
        </is>
      </c>
      <c r="B88" s="4" t="inlineStr">
        <is>
          <t>DRY</t>
        </is>
      </c>
      <c r="C88" s="4" t="inlineStr">
        <is>
          <t>PREP-AREA</t>
        </is>
      </c>
      <c r="D88" s="4" t="inlineStr"/>
      <c r="E88" s="4" t="inlineStr">
        <is>
          <t>Physically counted 2026-08-01</t>
        </is>
      </c>
      <c r="F88" s="4" t="inlineStr">
        <is>
          <t>2026-08-01</t>
        </is>
      </c>
      <c r="G88" s="5" t="n">
        <v>1</v>
      </c>
      <c r="H88" s="4" t="inlineStr">
        <is>
          <t>each</t>
        </is>
      </c>
      <c r="I88" s="5" t="n">
        <v>400</v>
      </c>
      <c r="J88" s="4" t="inlineStr">
        <is>
          <t>g</t>
        </is>
      </c>
      <c r="K88" s="6" t="n">
        <v>0.0495</v>
      </c>
      <c r="L88" s="6" t="n">
        <v>0.0495</v>
      </c>
      <c r="M88" s="7">
        <f>I88*K88</f>
        <v/>
      </c>
      <c r="N88" s="7">
        <f>I88*L88</f>
        <v/>
      </c>
      <c r="O88" s="7">
        <f>N88-M88</f>
        <v/>
      </c>
      <c r="P88" s="7" t="n">
        <v>49.5</v>
      </c>
      <c r="Q88" s="4" t="inlineStr">
        <is>
          <t>kg</t>
        </is>
      </c>
      <c r="R88" s="4" t="inlineStr">
        <is>
          <t>1 case → 400 each</t>
        </is>
      </c>
    </row>
    <row r="89">
      <c r="A89" s="4" t="inlineStr">
        <is>
          <t>Coriander ground</t>
        </is>
      </c>
      <c r="B89" s="4" t="inlineStr">
        <is>
          <t>DRY</t>
        </is>
      </c>
      <c r="C89" s="4" t="inlineStr">
        <is>
          <t>PREP-AREA</t>
        </is>
      </c>
      <c r="D89" s="4" t="inlineStr"/>
      <c r="E89" s="4" t="inlineStr">
        <is>
          <t>Physically counted 2026-08-01</t>
        </is>
      </c>
      <c r="F89" s="4" t="inlineStr">
        <is>
          <t>2026-08-01</t>
        </is>
      </c>
      <c r="G89" s="5" t="n">
        <v>0.38</v>
      </c>
      <c r="H89" s="4" t="inlineStr">
        <is>
          <t>kg</t>
        </is>
      </c>
      <c r="I89" s="5" t="n">
        <v>380</v>
      </c>
      <c r="J89" s="4" t="inlineStr">
        <is>
          <t>g</t>
        </is>
      </c>
      <c r="K89" s="6" t="n">
        <v>0.01079</v>
      </c>
      <c r="L89" s="6" t="n">
        <v>0.01079</v>
      </c>
      <c r="M89" s="7">
        <f>I89*K89</f>
        <v/>
      </c>
      <c r="N89" s="7">
        <f>I89*L89</f>
        <v/>
      </c>
      <c r="O89" s="7">
        <f>N89-M89</f>
        <v/>
      </c>
      <c r="P89" s="7" t="n">
        <v>10.79</v>
      </c>
      <c r="Q89" s="4" t="inlineStr">
        <is>
          <t>kg</t>
        </is>
      </c>
      <c r="R89" s="4" t="inlineStr">
        <is>
          <t>1 each → 2000 each</t>
        </is>
      </c>
    </row>
    <row r="90">
      <c r="A90" s="4" t="inlineStr">
        <is>
          <t>Coriander Seeds</t>
        </is>
      </c>
      <c r="B90" s="4" t="inlineStr">
        <is>
          <t>DRY</t>
        </is>
      </c>
      <c r="C90" s="4" t="inlineStr">
        <is>
          <t>PREP-AREA</t>
        </is>
      </c>
      <c r="D90" s="4" t="inlineStr"/>
      <c r="E90" s="4" t="inlineStr">
        <is>
          <t>Physically counted 2026-08-01</t>
        </is>
      </c>
      <c r="F90" s="4" t="inlineStr">
        <is>
          <t>2026-08-01</t>
        </is>
      </c>
      <c r="G90" s="5" t="n">
        <v>0.245</v>
      </c>
      <c r="H90" s="4" t="inlineStr">
        <is>
          <t>kg</t>
        </is>
      </c>
      <c r="I90" s="5" t="n">
        <v>245</v>
      </c>
      <c r="J90" s="4" t="inlineStr">
        <is>
          <t>g</t>
        </is>
      </c>
      <c r="K90" s="6" t="n">
        <v>0.02596916299559471</v>
      </c>
      <c r="L90" s="6" t="n">
        <v>0.02596916299559471</v>
      </c>
      <c r="M90" s="7">
        <f>I90*K90</f>
        <v/>
      </c>
      <c r="N90" s="7">
        <f>I90*L90</f>
        <v/>
      </c>
      <c r="O90" s="7">
        <f>N90-M90</f>
        <v/>
      </c>
      <c r="P90" s="7" t="n">
        <v>25.96916299559471</v>
      </c>
      <c r="Q90" s="4" t="inlineStr">
        <is>
          <t>kg</t>
        </is>
      </c>
      <c r="R90" s="4" t="inlineStr">
        <is>
          <t>1 each → 454 each</t>
        </is>
      </c>
    </row>
    <row r="91">
      <c r="A91" s="4" t="inlineStr">
        <is>
          <t>Corn Starch</t>
        </is>
      </c>
      <c r="B91" s="4" t="inlineStr">
        <is>
          <t>DRY</t>
        </is>
      </c>
      <c r="C91" s="4" t="inlineStr">
        <is>
          <t>PREP-AREA</t>
        </is>
      </c>
      <c r="D91" s="4" t="inlineStr"/>
      <c r="E91" s="4" t="inlineStr">
        <is>
          <t>Physically counted 2026-08-01</t>
        </is>
      </c>
      <c r="F91" s="4" t="inlineStr">
        <is>
          <t>2026-08-01</t>
        </is>
      </c>
      <c r="G91" s="5" t="n">
        <v>14</v>
      </c>
      <c r="H91" s="4" t="inlineStr">
        <is>
          <t>kg</t>
        </is>
      </c>
      <c r="I91" s="5" t="n">
        <v>14000</v>
      </c>
      <c r="J91" s="4" t="inlineStr">
        <is>
          <t>g</t>
        </is>
      </c>
      <c r="K91" s="6" t="n">
        <v>0.00371</v>
      </c>
      <c r="L91" s="6" t="n">
        <v>0.00371</v>
      </c>
      <c r="M91" s="7">
        <f>I91*K91</f>
        <v/>
      </c>
      <c r="N91" s="7">
        <f>I91*L91</f>
        <v/>
      </c>
      <c r="O91" s="7">
        <f>N91-M91</f>
        <v/>
      </c>
      <c r="P91" s="7" t="n">
        <v>3.71</v>
      </c>
      <c r="Q91" s="4" t="inlineStr">
        <is>
          <t>kg</t>
        </is>
      </c>
      <c r="R91" s="4" t="inlineStr">
        <is>
          <t>1 each → 5000 each</t>
        </is>
      </c>
    </row>
    <row r="92">
      <c r="A92" s="4" t="inlineStr">
        <is>
          <t>Cracked coriander seed</t>
        </is>
      </c>
      <c r="B92" s="4" t="inlineStr">
        <is>
          <t>DRY</t>
        </is>
      </c>
      <c r="C92" s="4" t="inlineStr"/>
      <c r="D92" s="4" t="inlineStr"/>
      <c r="E92" s="4" t="inlineStr">
        <is>
          <t>Physically counted 2026-08-01</t>
        </is>
      </c>
      <c r="F92" s="4" t="inlineStr">
        <is>
          <t>2026-08-01</t>
        </is>
      </c>
      <c r="G92" s="5" t="n">
        <v>200</v>
      </c>
      <c r="H92" s="4" t="inlineStr">
        <is>
          <t>g</t>
        </is>
      </c>
      <c r="I92" s="5" t="n">
        <v>200</v>
      </c>
      <c r="J92" s="4" t="inlineStr">
        <is>
          <t>g</t>
        </is>
      </c>
      <c r="K92" s="6" t="n">
        <v>0</v>
      </c>
      <c r="L92" s="6" t="n">
        <v>0</v>
      </c>
      <c r="M92" s="7">
        <f>I92*K92</f>
        <v/>
      </c>
      <c r="N92" s="7">
        <f>I92*L92</f>
        <v/>
      </c>
      <c r="O92" s="7">
        <f>N92-M92</f>
        <v/>
      </c>
      <c r="P92" s="7" t="n">
        <v>0</v>
      </c>
      <c r="Q92" s="4" t="inlineStr">
        <is>
          <t>kg</t>
        </is>
      </c>
      <c r="R92" s="4" t="inlineStr">
        <is>
          <t>1 each → 1 each</t>
        </is>
      </c>
    </row>
    <row r="93">
      <c r="A93" s="4" t="inlineStr">
        <is>
          <t>Cranberries Dried</t>
        </is>
      </c>
      <c r="B93" s="4" t="inlineStr">
        <is>
          <t>DRY</t>
        </is>
      </c>
      <c r="C93" s="4" t="inlineStr">
        <is>
          <t>PREP-AREA</t>
        </is>
      </c>
      <c r="D93" s="4" t="inlineStr">
        <is>
          <t>Sysco</t>
        </is>
      </c>
      <c r="E93" s="4" t="inlineStr">
        <is>
          <t>Physically counted 2026-08-01</t>
        </is>
      </c>
      <c r="F93" s="4" t="inlineStr">
        <is>
          <t>2026-08-01</t>
        </is>
      </c>
      <c r="G93" s="5" t="n">
        <v>0</v>
      </c>
      <c r="H93" s="4" t="inlineStr">
        <is>
          <t>kg</t>
        </is>
      </c>
      <c r="I93" s="5" t="n">
        <v>0</v>
      </c>
      <c r="J93" s="4" t="inlineStr">
        <is>
          <t>g</t>
        </is>
      </c>
      <c r="K93" s="6" t="n">
        <v>0.01263235294117647</v>
      </c>
      <c r="L93" s="6" t="n">
        <v>0.01263235294117647</v>
      </c>
      <c r="M93" s="7">
        <f>I93*K93</f>
        <v/>
      </c>
      <c r="N93" s="7">
        <f>I93*L93</f>
        <v/>
      </c>
      <c r="O93" s="7">
        <f>N93-M93</f>
        <v/>
      </c>
      <c r="P93" s="7" t="n">
        <v>12.63235294117647</v>
      </c>
      <c r="Q93" s="4" t="inlineStr">
        <is>
          <t>kg</t>
        </is>
      </c>
      <c r="R93" s="4" t="inlineStr">
        <is>
          <t>2 case → 1360 each</t>
        </is>
      </c>
    </row>
    <row r="94">
      <c r="A94" s="4" t="inlineStr">
        <is>
          <t>Crushed chili</t>
        </is>
      </c>
      <c r="B94" s="4" t="inlineStr">
        <is>
          <t>DRY</t>
        </is>
      </c>
      <c r="C94" s="4" t="inlineStr">
        <is>
          <t>PREP-AREA</t>
        </is>
      </c>
      <c r="D94" s="4" t="inlineStr"/>
      <c r="E94" s="4" t="inlineStr">
        <is>
          <t>Physically counted 2026-08-01</t>
        </is>
      </c>
      <c r="F94" s="4" t="inlineStr">
        <is>
          <t>2026-08-01</t>
        </is>
      </c>
      <c r="G94" s="5" t="n">
        <v>0.7</v>
      </c>
      <c r="H94" s="4" t="inlineStr">
        <is>
          <t>kg</t>
        </is>
      </c>
      <c r="I94" s="5" t="n">
        <v>700</v>
      </c>
      <c r="J94" s="4" t="inlineStr">
        <is>
          <t>g</t>
        </is>
      </c>
      <c r="K94" s="6" t="n">
        <v>0.01702</v>
      </c>
      <c r="L94" s="6" t="n">
        <v>0.01702</v>
      </c>
      <c r="M94" s="7">
        <f>I94*K94</f>
        <v/>
      </c>
      <c r="N94" s="7">
        <f>I94*L94</f>
        <v/>
      </c>
      <c r="O94" s="7">
        <f>N94-M94</f>
        <v/>
      </c>
      <c r="P94" s="7" t="n">
        <v>17.02</v>
      </c>
      <c r="Q94" s="4" t="inlineStr">
        <is>
          <t>kg</t>
        </is>
      </c>
      <c r="R94" s="4" t="inlineStr">
        <is>
          <t>1 each → 1000 each</t>
        </is>
      </c>
    </row>
    <row r="95">
      <c r="A95" s="4" t="inlineStr">
        <is>
          <t>Cumin</t>
        </is>
      </c>
      <c r="B95" s="4" t="inlineStr">
        <is>
          <t>DRY</t>
        </is>
      </c>
      <c r="C95" s="4" t="inlineStr">
        <is>
          <t>PREP-AREA</t>
        </is>
      </c>
      <c r="D95" s="4" t="inlineStr"/>
      <c r="E95" s="4" t="inlineStr">
        <is>
          <t>Physically counted 2026-08-01</t>
        </is>
      </c>
      <c r="F95" s="4" t="inlineStr">
        <is>
          <t>2026-08-01</t>
        </is>
      </c>
      <c r="G95" s="5" t="n">
        <v>1.5</v>
      </c>
      <c r="H95" s="4" t="inlineStr">
        <is>
          <t>kg</t>
        </is>
      </c>
      <c r="I95" s="5" t="n">
        <v>1500</v>
      </c>
      <c r="J95" s="4" t="inlineStr">
        <is>
          <t>g</t>
        </is>
      </c>
      <c r="K95" s="6" t="n">
        <v>0.02113</v>
      </c>
      <c r="L95" s="6" t="n">
        <v>0.02113</v>
      </c>
      <c r="M95" s="7">
        <f>I95*K95</f>
        <v/>
      </c>
      <c r="N95" s="7">
        <f>I95*L95</f>
        <v/>
      </c>
      <c r="O95" s="7">
        <f>N95-M95</f>
        <v/>
      </c>
      <c r="P95" s="7" t="n">
        <v>21.13</v>
      </c>
      <c r="Q95" s="4" t="inlineStr">
        <is>
          <t>kg</t>
        </is>
      </c>
      <c r="R95" s="4" t="inlineStr">
        <is>
          <t>1000 case</t>
        </is>
      </c>
    </row>
    <row r="96">
      <c r="A96" s="4" t="inlineStr">
        <is>
          <t>Cumin seeds</t>
        </is>
      </c>
      <c r="B96" s="4" t="inlineStr">
        <is>
          <t>DRY</t>
        </is>
      </c>
      <c r="C96" s="4" t="inlineStr">
        <is>
          <t>PREP-AREA</t>
        </is>
      </c>
      <c r="D96" s="4" t="inlineStr"/>
      <c r="E96" s="4" t="inlineStr">
        <is>
          <t>Physically counted 2026-08-01</t>
        </is>
      </c>
      <c r="F96" s="4" t="inlineStr">
        <is>
          <t>2026-08-01</t>
        </is>
      </c>
      <c r="G96" s="5" t="n">
        <v>0</v>
      </c>
      <c r="H96" s="4" t="inlineStr">
        <is>
          <t>kg</t>
        </is>
      </c>
      <c r="I96" s="5" t="n">
        <v>0</v>
      </c>
      <c r="J96" s="4" t="inlineStr">
        <is>
          <t>g</t>
        </is>
      </c>
      <c r="K96" s="6" t="n">
        <v>0.03048458149779736</v>
      </c>
      <c r="L96" s="6" t="n">
        <v>0.03048458149779736</v>
      </c>
      <c r="M96" s="7">
        <f>I96*K96</f>
        <v/>
      </c>
      <c r="N96" s="7">
        <f>I96*L96</f>
        <v/>
      </c>
      <c r="O96" s="7">
        <f>N96-M96</f>
        <v/>
      </c>
      <c r="P96" s="7" t="n">
        <v>30.48458149779735</v>
      </c>
      <c r="Q96" s="4" t="inlineStr">
        <is>
          <t>kg</t>
        </is>
      </c>
      <c r="R96" s="4" t="inlineStr">
        <is>
          <t>1 each → 454 each</t>
        </is>
      </c>
    </row>
    <row r="97">
      <c r="A97" s="4" t="inlineStr">
        <is>
          <t>Curing salt PRAGUE</t>
        </is>
      </c>
      <c r="B97" s="4" t="inlineStr">
        <is>
          <t>DRY</t>
        </is>
      </c>
      <c r="C97" s="4" t="inlineStr">
        <is>
          <t>SATELITE</t>
        </is>
      </c>
      <c r="D97" s="4" t="inlineStr"/>
      <c r="E97" s="4" t="inlineStr">
        <is>
          <t>Physically counted 2026-08-01</t>
        </is>
      </c>
      <c r="F97" s="4" t="inlineStr">
        <is>
          <t>2026-08-01</t>
        </is>
      </c>
      <c r="G97" s="5" t="n">
        <v>10</v>
      </c>
      <c r="H97" s="4" t="inlineStr">
        <is>
          <t>g</t>
        </is>
      </c>
      <c r="I97" s="5" t="n">
        <v>10</v>
      </c>
      <c r="J97" s="4" t="inlineStr">
        <is>
          <t>g</t>
        </is>
      </c>
      <c r="K97" s="6" t="n">
        <v>0.01636</v>
      </c>
      <c r="L97" s="6" t="n">
        <v>0.01636</v>
      </c>
      <c r="M97" s="7">
        <f>I97*K97</f>
        <v/>
      </c>
      <c r="N97" s="7">
        <f>I97*L97</f>
        <v/>
      </c>
      <c r="O97" s="7">
        <f>N97-M97</f>
        <v/>
      </c>
      <c r="P97" s="7" t="n">
        <v>16.36</v>
      </c>
      <c r="Q97" s="4" t="inlineStr">
        <is>
          <t>kg</t>
        </is>
      </c>
      <c r="R97" s="4" t="inlineStr">
        <is>
          <t>1 each → 1000 each</t>
        </is>
      </c>
    </row>
    <row r="98">
      <c r="A98" s="4" t="inlineStr">
        <is>
          <t>Curry Powder</t>
        </is>
      </c>
      <c r="B98" s="4" t="inlineStr">
        <is>
          <t>DRY</t>
        </is>
      </c>
      <c r="C98" s="4" t="inlineStr">
        <is>
          <t>PREP-AREA</t>
        </is>
      </c>
      <c r="D98" s="4" t="inlineStr"/>
      <c r="E98" s="4" t="inlineStr">
        <is>
          <t>Physically counted 2026-08-01</t>
        </is>
      </c>
      <c r="F98" s="4" t="inlineStr">
        <is>
          <t>2026-08-01</t>
        </is>
      </c>
      <c r="G98" s="5" t="n">
        <v>3.15</v>
      </c>
      <c r="H98" s="4" t="inlineStr">
        <is>
          <t>kg</t>
        </is>
      </c>
      <c r="I98" s="5" t="n">
        <v>3150</v>
      </c>
      <c r="J98" s="4" t="inlineStr">
        <is>
          <t>g</t>
        </is>
      </c>
      <c r="K98" s="6" t="n">
        <v>0.011272</v>
      </c>
      <c r="L98" s="6" t="n">
        <v>0.011272</v>
      </c>
      <c r="M98" s="7">
        <f>I98*K98</f>
        <v/>
      </c>
      <c r="N98" s="7">
        <f>I98*L98</f>
        <v/>
      </c>
      <c r="O98" s="7">
        <f>N98-M98</f>
        <v/>
      </c>
      <c r="P98" s="7" t="n">
        <v>11.272</v>
      </c>
      <c r="Q98" s="4" t="inlineStr">
        <is>
          <t>kg</t>
        </is>
      </c>
      <c r="R98" s="4" t="inlineStr">
        <is>
          <t>1 each → 2500 each</t>
        </is>
      </c>
    </row>
    <row r="99">
      <c r="A99" s="4" t="inlineStr">
        <is>
          <t>dark rye flour</t>
        </is>
      </c>
      <c r="B99" s="4" t="inlineStr">
        <is>
          <t>DRY</t>
        </is>
      </c>
      <c r="C99" s="4" t="inlineStr">
        <is>
          <t>CATERING</t>
        </is>
      </c>
      <c r="D99" s="4" t="inlineStr"/>
      <c r="E99" s="4" t="inlineStr">
        <is>
          <t>Physically counted 2026-08-01</t>
        </is>
      </c>
      <c r="F99" s="4" t="inlineStr">
        <is>
          <t>2026-08-01</t>
        </is>
      </c>
      <c r="G99" s="5" t="n">
        <v>2.3</v>
      </c>
      <c r="H99" s="4" t="inlineStr">
        <is>
          <t>kg</t>
        </is>
      </c>
      <c r="I99" s="5" t="n">
        <v>2300</v>
      </c>
      <c r="J99" s="4" t="inlineStr">
        <is>
          <t>g</t>
        </is>
      </c>
      <c r="K99" s="6" t="n">
        <v>0.0013665</v>
      </c>
      <c r="L99" s="6" t="n">
        <v>0.0013665</v>
      </c>
      <c r="M99" s="7">
        <f>I99*K99</f>
        <v/>
      </c>
      <c r="N99" s="7">
        <f>I99*L99</f>
        <v/>
      </c>
      <c r="O99" s="7">
        <f>N99-M99</f>
        <v/>
      </c>
      <c r="P99" s="7" t="n">
        <v>1.3665</v>
      </c>
      <c r="Q99" s="4" t="inlineStr">
        <is>
          <t>kg</t>
        </is>
      </c>
      <c r="R99" s="4" t="inlineStr">
        <is>
          <t>1 each → 20000 each</t>
        </is>
      </c>
    </row>
    <row r="100">
      <c r="A100" s="4" t="inlineStr">
        <is>
          <t>Dried Diced Apricots</t>
        </is>
      </c>
      <c r="B100" s="4" t="inlineStr">
        <is>
          <t>DRY</t>
        </is>
      </c>
      <c r="C100" s="4" t="inlineStr">
        <is>
          <t>PREP-AREA</t>
        </is>
      </c>
      <c r="D100" s="4" t="inlineStr"/>
      <c r="E100" s="4" t="inlineStr">
        <is>
          <t>Physically counted 2026-08-01</t>
        </is>
      </c>
      <c r="F100" s="4" t="inlineStr">
        <is>
          <t>2026-08-01</t>
        </is>
      </c>
      <c r="G100" s="5" t="n">
        <v>0</v>
      </c>
      <c r="H100" s="4" t="inlineStr">
        <is>
          <t>kg</t>
        </is>
      </c>
      <c r="I100" s="5" t="n">
        <v>0</v>
      </c>
      <c r="J100" s="4" t="inlineStr">
        <is>
          <t>g</t>
        </is>
      </c>
      <c r="K100" s="6" t="n">
        <v>0.021</v>
      </c>
      <c r="L100" s="6" t="n">
        <v>0.021</v>
      </c>
      <c r="M100" s="7">
        <f>I100*K100</f>
        <v/>
      </c>
      <c r="N100" s="7">
        <f>I100*L100</f>
        <v/>
      </c>
      <c r="O100" s="7">
        <f>N100-M100</f>
        <v/>
      </c>
      <c r="P100" s="7" t="n">
        <v>21</v>
      </c>
      <c r="Q100" s="4" t="inlineStr">
        <is>
          <t>kg</t>
        </is>
      </c>
      <c r="R100" s="4" t="inlineStr">
        <is>
          <t>1 each → 12500 each</t>
        </is>
      </c>
    </row>
    <row r="101">
      <c r="A101" s="4" t="inlineStr">
        <is>
          <t>dried onion flakes</t>
        </is>
      </c>
      <c r="B101" s="4" t="inlineStr">
        <is>
          <t>DRY</t>
        </is>
      </c>
      <c r="C101" s="4" t="inlineStr">
        <is>
          <t>PREP-AREA</t>
        </is>
      </c>
      <c r="D101" s="4" t="inlineStr"/>
      <c r="E101" s="4" t="inlineStr">
        <is>
          <t>Physically counted 2026-08-01</t>
        </is>
      </c>
      <c r="F101" s="4" t="inlineStr">
        <is>
          <t>2026-08-01</t>
        </is>
      </c>
      <c r="G101" s="5" t="n">
        <v>0.8</v>
      </c>
      <c r="H101" s="4" t="inlineStr">
        <is>
          <t>kg</t>
        </is>
      </c>
      <c r="I101" s="5" t="n">
        <v>800</v>
      </c>
      <c r="J101" s="4" t="inlineStr">
        <is>
          <t>g</t>
        </is>
      </c>
      <c r="K101" s="6" t="n">
        <v>0.02736775142297103</v>
      </c>
      <c r="L101" s="6" t="n">
        <v>0.02736775142297103</v>
      </c>
      <c r="M101" s="7">
        <f>I101*K101</f>
        <v/>
      </c>
      <c r="N101" s="7">
        <f>I101*L101</f>
        <v/>
      </c>
      <c r="O101" s="7">
        <f>N101-M101</f>
        <v/>
      </c>
      <c r="P101" s="7" t="n">
        <v>27.36775142297103</v>
      </c>
      <c r="Q101" s="4" t="inlineStr">
        <is>
          <t>kg</t>
        </is>
      </c>
      <c r="R101" s="4" t="inlineStr">
        <is>
          <t>1 each → 1315.4168 each</t>
        </is>
      </c>
    </row>
    <row r="102">
      <c r="A102" s="4" t="inlineStr">
        <is>
          <t>Dried Porcini Mushroom</t>
        </is>
      </c>
      <c r="B102" s="4" t="inlineStr">
        <is>
          <t>DRY</t>
        </is>
      </c>
      <c r="C102" s="4" t="inlineStr">
        <is>
          <t>PREP-AREA</t>
        </is>
      </c>
      <c r="D102" s="4" t="inlineStr"/>
      <c r="E102" s="4" t="inlineStr">
        <is>
          <t>Physically counted 2026-08-01</t>
        </is>
      </c>
      <c r="F102" s="4" t="inlineStr">
        <is>
          <t>2026-08-01</t>
        </is>
      </c>
      <c r="G102" s="5" t="n">
        <v>150</v>
      </c>
      <c r="H102" s="4" t="inlineStr">
        <is>
          <t>g</t>
        </is>
      </c>
      <c r="I102" s="5" t="n">
        <v>150</v>
      </c>
      <c r="J102" s="4" t="inlineStr">
        <is>
          <t>g</t>
        </is>
      </c>
      <c r="K102" s="6" t="n">
        <v>0.09167400881057268</v>
      </c>
      <c r="L102" s="6" t="n">
        <v>0.09167400881057268</v>
      </c>
      <c r="M102" s="7">
        <f>I102*K102</f>
        <v/>
      </c>
      <c r="N102" s="7">
        <f>I102*L102</f>
        <v/>
      </c>
      <c r="O102" s="7">
        <f>N102-M102</f>
        <v/>
      </c>
      <c r="P102" s="7" t="n">
        <v>91.67400881057267</v>
      </c>
      <c r="Q102" s="4" t="inlineStr">
        <is>
          <t>kg</t>
        </is>
      </c>
      <c r="R102" s="4" t="inlineStr">
        <is>
          <t>1 each → 454 each</t>
        </is>
      </c>
    </row>
    <row r="103">
      <c r="A103" s="4" t="inlineStr">
        <is>
          <t>Durum Semolina</t>
        </is>
      </c>
      <c r="B103" s="4" t="inlineStr">
        <is>
          <t>DRY</t>
        </is>
      </c>
      <c r="C103" s="4" t="inlineStr">
        <is>
          <t>SATELITE</t>
        </is>
      </c>
      <c r="D103" s="4" t="inlineStr">
        <is>
          <t>Snow Cap</t>
        </is>
      </c>
      <c r="E103" s="4" t="inlineStr">
        <is>
          <t>Physically counted 2026-08-01</t>
        </is>
      </c>
      <c r="F103" s="4" t="inlineStr">
        <is>
          <t>2026-08-01</t>
        </is>
      </c>
      <c r="G103" s="5" t="n">
        <v>14.7</v>
      </c>
      <c r="H103" s="4" t="inlineStr">
        <is>
          <t>kg</t>
        </is>
      </c>
      <c r="I103" s="5" t="n">
        <v>14700</v>
      </c>
      <c r="J103" s="4" t="inlineStr">
        <is>
          <t>g</t>
        </is>
      </c>
      <c r="K103" s="6" t="n">
        <v>0.001771</v>
      </c>
      <c r="L103" s="6" t="n">
        <v>0.001771</v>
      </c>
      <c r="M103" s="7">
        <f>I103*K103</f>
        <v/>
      </c>
      <c r="N103" s="7">
        <f>I103*L103</f>
        <v/>
      </c>
      <c r="O103" s="7">
        <f>N103-M103</f>
        <v/>
      </c>
      <c r="P103" s="7" t="n">
        <v>1.771</v>
      </c>
      <c r="Q103" s="4" t="inlineStr">
        <is>
          <t>kg</t>
        </is>
      </c>
      <c r="R103" s="4" t="inlineStr">
        <is>
          <t>20000 case</t>
        </is>
      </c>
    </row>
    <row r="104">
      <c r="A104" s="4" t="inlineStr">
        <is>
          <t>Extra Virgin Olive Oil</t>
        </is>
      </c>
      <c r="B104" s="4" t="inlineStr">
        <is>
          <t>DRY</t>
        </is>
      </c>
      <c r="C104" s="4" t="inlineStr"/>
      <c r="D104" s="4" t="inlineStr">
        <is>
          <t>Sysco</t>
        </is>
      </c>
      <c r="E104" s="4" t="inlineStr">
        <is>
          <t>Physically counted 2026-08-01</t>
        </is>
      </c>
      <c r="F104" s="4" t="inlineStr">
        <is>
          <t>2026-08-01</t>
        </is>
      </c>
      <c r="G104" s="5" t="n">
        <v>1.5</v>
      </c>
      <c r="H104" s="4" t="inlineStr">
        <is>
          <t>each</t>
        </is>
      </c>
      <c r="I104" s="5" t="n">
        <v>4500</v>
      </c>
      <c r="J104" s="4" t="inlineStr">
        <is>
          <t>ml</t>
        </is>
      </c>
      <c r="K104" s="6" t="n">
        <v>0.01221333333333333</v>
      </c>
      <c r="L104" s="6" t="n">
        <v>0.0116625</v>
      </c>
      <c r="M104" s="7">
        <f>I104*K104</f>
        <v/>
      </c>
      <c r="N104" s="7">
        <f>I104*L104</f>
        <v/>
      </c>
      <c r="O104" s="7">
        <f>N104-M104</f>
        <v/>
      </c>
      <c r="P104" s="7" t="n">
        <v>11.6625</v>
      </c>
      <c r="Q104" s="4" t="inlineStr">
        <is>
          <t>L</t>
        </is>
      </c>
      <c r="R104" s="4" t="inlineStr">
        <is>
          <t>4 case → 3000 each</t>
        </is>
      </c>
    </row>
    <row r="105">
      <c r="A105" s="4" t="inlineStr">
        <is>
          <t>Fennel Seeds</t>
        </is>
      </c>
      <c r="B105" s="4" t="inlineStr">
        <is>
          <t>DRY</t>
        </is>
      </c>
      <c r="C105" s="4" t="inlineStr">
        <is>
          <t>PREP-AREA</t>
        </is>
      </c>
      <c r="D105" s="4" t="inlineStr">
        <is>
          <t>Sysco</t>
        </is>
      </c>
      <c r="E105" s="4" t="inlineStr">
        <is>
          <t>Physically counted 2026-08-01</t>
        </is>
      </c>
      <c r="F105" s="4" t="inlineStr">
        <is>
          <t>2026-08-01</t>
        </is>
      </c>
      <c r="G105" s="5" t="n">
        <v>0</v>
      </c>
      <c r="H105" s="4" t="inlineStr">
        <is>
          <t>kg</t>
        </is>
      </c>
      <c r="I105" s="5" t="n">
        <v>0</v>
      </c>
      <c r="J105" s="4" t="inlineStr">
        <is>
          <t>g</t>
        </is>
      </c>
      <c r="K105" s="6" t="n">
        <v>0.0557329053422459</v>
      </c>
      <c r="L105" s="6" t="n">
        <v>0.0557329053422459</v>
      </c>
      <c r="M105" s="7">
        <f>I105*K105</f>
        <v/>
      </c>
      <c r="N105" s="7">
        <f>I105*L105</f>
        <v/>
      </c>
      <c r="O105" s="7">
        <f>N105-M105</f>
        <v/>
      </c>
      <c r="P105" s="7" t="n">
        <v>55.7329053422459</v>
      </c>
      <c r="Q105" s="4" t="inlineStr">
        <is>
          <t>kg</t>
        </is>
      </c>
      <c r="R105" s="4" t="inlineStr">
        <is>
          <t>1 pack → 340.194 each</t>
        </is>
      </c>
    </row>
    <row r="106">
      <c r="A106" s="4" t="inlineStr">
        <is>
          <t>Feuilletine</t>
        </is>
      </c>
      <c r="B106" s="4" t="inlineStr">
        <is>
          <t>DRY</t>
        </is>
      </c>
      <c r="C106" s="4" t="inlineStr">
        <is>
          <t>PREP-AREA</t>
        </is>
      </c>
      <c r="D106" s="4" t="inlineStr"/>
      <c r="E106" s="4" t="inlineStr">
        <is>
          <t>Physically counted 2026-08-01</t>
        </is>
      </c>
      <c r="F106" s="4" t="inlineStr">
        <is>
          <t>2026-08-01</t>
        </is>
      </c>
      <c r="G106" s="5" t="n">
        <v>600</v>
      </c>
      <c r="H106" s="4" t="inlineStr">
        <is>
          <t>g</t>
        </is>
      </c>
      <c r="I106" s="5" t="n">
        <v>600</v>
      </c>
      <c r="J106" s="4" t="inlineStr">
        <is>
          <t>g</t>
        </is>
      </c>
      <c r="K106" s="6" t="n">
        <v>0.021636</v>
      </c>
      <c r="L106" s="6" t="n">
        <v>0.021636</v>
      </c>
      <c r="M106" s="7">
        <f>I106*K106</f>
        <v/>
      </c>
      <c r="N106" s="7">
        <f>I106*L106</f>
        <v/>
      </c>
      <c r="O106" s="7">
        <f>N106-M106</f>
        <v/>
      </c>
      <c r="P106" s="7" t="n">
        <v>21.636</v>
      </c>
      <c r="Q106" s="4" t="inlineStr">
        <is>
          <t>kg</t>
        </is>
      </c>
      <c r="R106" s="4" t="inlineStr">
        <is>
          <t>1 each → 2500 each</t>
        </is>
      </c>
    </row>
    <row r="107">
      <c r="A107" s="4" t="inlineStr">
        <is>
          <t>Figs Dried</t>
        </is>
      </c>
      <c r="B107" s="4" t="inlineStr">
        <is>
          <t>DRY</t>
        </is>
      </c>
      <c r="C107" s="4" t="inlineStr"/>
      <c r="D107" s="4" t="inlineStr"/>
      <c r="E107" s="4" t="inlineStr">
        <is>
          <t>Physically counted 2026-08-01</t>
        </is>
      </c>
      <c r="F107" s="4" t="inlineStr">
        <is>
          <t>2026-08-01</t>
        </is>
      </c>
      <c r="G107" s="5" t="n">
        <v>400</v>
      </c>
      <c r="H107" s="4" t="inlineStr">
        <is>
          <t>g</t>
        </is>
      </c>
      <c r="I107" s="5" t="n">
        <v>400</v>
      </c>
      <c r="J107" s="4" t="inlineStr">
        <is>
          <t>g</t>
        </is>
      </c>
      <c r="K107" s="6" t="n">
        <v>0.02488546255506608</v>
      </c>
      <c r="L107" s="6" t="n">
        <v>0.01810661764705883</v>
      </c>
      <c r="M107" s="7">
        <f>I107*K107</f>
        <v/>
      </c>
      <c r="N107" s="7">
        <f>I107*L107</f>
        <v/>
      </c>
      <c r="O107" s="7">
        <f>N107-M107</f>
        <v/>
      </c>
      <c r="P107" s="7" t="n">
        <v>18.10661764705883</v>
      </c>
      <c r="Q107" s="4" t="inlineStr">
        <is>
          <t>kg</t>
        </is>
      </c>
      <c r="R107" s="4" t="inlineStr">
        <is>
          <t>13600 each</t>
        </is>
      </c>
    </row>
    <row r="108">
      <c r="A108" s="4" t="inlineStr">
        <is>
          <t>Fish sauce</t>
        </is>
      </c>
      <c r="B108" s="4" t="inlineStr">
        <is>
          <t>DRY</t>
        </is>
      </c>
      <c r="C108" s="4" t="inlineStr"/>
      <c r="D108" s="4" t="inlineStr"/>
      <c r="E108" s="4" t="inlineStr">
        <is>
          <t>Physically counted 2026-08-01</t>
        </is>
      </c>
      <c r="F108" s="4" t="inlineStr">
        <is>
          <t>2026-08-01</t>
        </is>
      </c>
      <c r="G108" s="5" t="n">
        <v>0</v>
      </c>
      <c r="H108" s="4" t="inlineStr">
        <is>
          <t>each</t>
        </is>
      </c>
      <c r="I108" s="5" t="n">
        <v>0</v>
      </c>
      <c r="J108" s="4" t="inlineStr">
        <is>
          <t>ml</t>
        </is>
      </c>
      <c r="K108" s="6" t="n">
        <v>0.005514285714285714</v>
      </c>
      <c r="L108" s="6" t="n">
        <v>0.005514285714285714</v>
      </c>
      <c r="M108" s="7">
        <f>I108*K108</f>
        <v/>
      </c>
      <c r="N108" s="7">
        <f>I108*L108</f>
        <v/>
      </c>
      <c r="O108" s="7">
        <f>N108-M108</f>
        <v/>
      </c>
      <c r="P108" s="7" t="n">
        <v>5.514285714285713</v>
      </c>
      <c r="Q108" s="4" t="inlineStr">
        <is>
          <t>L</t>
        </is>
      </c>
      <c r="R108" s="4" t="inlineStr">
        <is>
          <t>1 each → 700 each</t>
        </is>
      </c>
    </row>
    <row r="109">
      <c r="A109" s="4" t="inlineStr">
        <is>
          <t>Flaked SkipJack Tuna</t>
        </is>
      </c>
      <c r="B109" s="4" t="inlineStr">
        <is>
          <t>DRY</t>
        </is>
      </c>
      <c r="C109" s="4" t="inlineStr">
        <is>
          <t>SATELITE</t>
        </is>
      </c>
      <c r="D109" s="4" t="inlineStr"/>
      <c r="E109" s="4" t="inlineStr">
        <is>
          <t>Physically counted 2026-08-01</t>
        </is>
      </c>
      <c r="F109" s="4" t="inlineStr">
        <is>
          <t>2026-08-01</t>
        </is>
      </c>
      <c r="G109" s="5" t="n">
        <v>0</v>
      </c>
      <c r="H109" s="4" t="inlineStr">
        <is>
          <t>each</t>
        </is>
      </c>
      <c r="I109" s="5" t="n">
        <v>0</v>
      </c>
      <c r="J109" s="4" t="inlineStr">
        <is>
          <t>g</t>
        </is>
      </c>
      <c r="K109" s="6" t="n">
        <v>0.01838251366120219</v>
      </c>
      <c r="L109" s="6" t="n">
        <v>0.01838251366120219</v>
      </c>
      <c r="M109" s="7">
        <f>I109*K109</f>
        <v/>
      </c>
      <c r="N109" s="7">
        <f>I109*L109</f>
        <v/>
      </c>
      <c r="O109" s="7">
        <f>N109-M109</f>
        <v/>
      </c>
      <c r="P109" s="7" t="n">
        <v>18.38251366120219</v>
      </c>
      <c r="Q109" s="4" t="inlineStr">
        <is>
          <t>kg</t>
        </is>
      </c>
      <c r="R109" s="4" t="inlineStr">
        <is>
          <t>6 case → 1220 each</t>
        </is>
      </c>
    </row>
    <row r="110">
      <c r="A110" s="4" t="inlineStr">
        <is>
          <t>Flax seed meal ground</t>
        </is>
      </c>
      <c r="B110" s="4" t="inlineStr">
        <is>
          <t>DRY</t>
        </is>
      </c>
      <c r="C110" s="4" t="inlineStr"/>
      <c r="D110" s="4" t="inlineStr"/>
      <c r="E110" s="4" t="inlineStr">
        <is>
          <t>Physically counted 2026-08-01</t>
        </is>
      </c>
      <c r="F110" s="4" t="inlineStr">
        <is>
          <t>2026-08-01</t>
        </is>
      </c>
      <c r="G110" s="5" t="n">
        <v>50</v>
      </c>
      <c r="H110" s="4" t="inlineStr">
        <is>
          <t>kg</t>
        </is>
      </c>
      <c r="I110" s="5" t="n">
        <v>50000</v>
      </c>
      <c r="J110" s="4" t="inlineStr">
        <is>
          <t>g</t>
        </is>
      </c>
      <c r="K110" s="6" t="n">
        <v>0.00392</v>
      </c>
      <c r="L110" s="6" t="n">
        <v>0.00392</v>
      </c>
      <c r="M110" s="7">
        <f>I110*K110</f>
        <v/>
      </c>
      <c r="N110" s="7">
        <f>I110*L110</f>
        <v/>
      </c>
      <c r="O110" s="7">
        <f>N110-M110</f>
        <v/>
      </c>
      <c r="P110" s="7" t="n">
        <v>3.92</v>
      </c>
      <c r="Q110" s="4" t="inlineStr">
        <is>
          <t>kg</t>
        </is>
      </c>
      <c r="R110" s="4" t="inlineStr">
        <is>
          <t>1 each → 5000 each</t>
        </is>
      </c>
    </row>
    <row r="111">
      <c r="A111" s="4" t="inlineStr">
        <is>
          <t>freeze dried raspberry</t>
        </is>
      </c>
      <c r="B111" s="4" t="inlineStr">
        <is>
          <t>DRY</t>
        </is>
      </c>
      <c r="C111" s="4" t="inlineStr">
        <is>
          <t>PREP-AREA</t>
        </is>
      </c>
      <c r="D111" s="4" t="inlineStr"/>
      <c r="E111" s="4" t="inlineStr">
        <is>
          <t>Physically counted 2026-08-01</t>
        </is>
      </c>
      <c r="F111" s="4" t="inlineStr">
        <is>
          <t>2026-08-01</t>
        </is>
      </c>
      <c r="G111" s="5" t="n">
        <v>0</v>
      </c>
      <c r="H111" s="4" t="inlineStr">
        <is>
          <t>each</t>
        </is>
      </c>
      <c r="I111" s="5" t="n">
        <v>0</v>
      </c>
      <c r="J111" s="4" t="inlineStr">
        <is>
          <t>g</t>
        </is>
      </c>
      <c r="K111" s="6" t="n">
        <v>0.1099264705882353</v>
      </c>
      <c r="L111" s="6" t="n">
        <v>0.1099264705882353</v>
      </c>
      <c r="M111" s="7">
        <f>I111*K111</f>
        <v/>
      </c>
      <c r="N111" s="7">
        <f>I111*L111</f>
        <v/>
      </c>
      <c r="O111" s="7">
        <f>N111-M111</f>
        <v/>
      </c>
      <c r="P111" s="7" t="n">
        <v>109.9264705882353</v>
      </c>
      <c r="Q111" s="4" t="inlineStr">
        <is>
          <t>kg</t>
        </is>
      </c>
      <c r="R111" s="4" t="inlineStr">
        <is>
          <t>1 each → 272 each</t>
        </is>
      </c>
    </row>
    <row r="112">
      <c r="A112" s="4" t="inlineStr">
        <is>
          <t>Garam Masala</t>
        </is>
      </c>
      <c r="B112" s="4" t="inlineStr">
        <is>
          <t>DRY</t>
        </is>
      </c>
      <c r="C112" s="4" t="inlineStr"/>
      <c r="D112" s="4" t="inlineStr"/>
      <c r="E112" s="4" t="inlineStr">
        <is>
          <t>Physically counted 2026-08-01</t>
        </is>
      </c>
      <c r="F112" s="4" t="inlineStr">
        <is>
          <t>2026-08-01</t>
        </is>
      </c>
      <c r="G112" s="5" t="n">
        <v>0.5</v>
      </c>
      <c r="H112" s="4" t="inlineStr">
        <is>
          <t>kg</t>
        </is>
      </c>
      <c r="I112" s="5" t="n">
        <v>500</v>
      </c>
      <c r="J112" s="4" t="inlineStr">
        <is>
          <t>g</t>
        </is>
      </c>
      <c r="K112" s="6" t="n">
        <v>0.06343636363636364</v>
      </c>
      <c r="L112" s="6" t="n">
        <v>0.06343636363636364</v>
      </c>
      <c r="M112" s="7">
        <f>I112*K112</f>
        <v/>
      </c>
      <c r="N112" s="7">
        <f>I112*L112</f>
        <v/>
      </c>
      <c r="O112" s="7">
        <f>N112-M112</f>
        <v/>
      </c>
      <c r="P112" s="7" t="n">
        <v>63.43636363636364</v>
      </c>
      <c r="Q112" s="4" t="inlineStr">
        <is>
          <t>kg</t>
        </is>
      </c>
      <c r="R112" s="4" t="inlineStr">
        <is>
          <t>1 each → 550 each</t>
        </is>
      </c>
    </row>
    <row r="113">
      <c r="A113" s="4" t="inlineStr">
        <is>
          <t>Garlic Powder</t>
        </is>
      </c>
      <c r="B113" s="4" t="inlineStr">
        <is>
          <t>DRY</t>
        </is>
      </c>
      <c r="C113" s="4" t="inlineStr">
        <is>
          <t>PREP-AREA</t>
        </is>
      </c>
      <c r="D113" s="4" t="inlineStr">
        <is>
          <t>Sysco</t>
        </is>
      </c>
      <c r="E113" s="4" t="inlineStr">
        <is>
          <t>Physically counted 2026-08-01</t>
        </is>
      </c>
      <c r="F113" s="4" t="inlineStr">
        <is>
          <t>2026-08-01</t>
        </is>
      </c>
      <c r="G113" s="5" t="n">
        <v>0</v>
      </c>
      <c r="H113" s="4" t="inlineStr">
        <is>
          <t>kg</t>
        </is>
      </c>
      <c r="I113" s="5" t="n">
        <v>0</v>
      </c>
      <c r="J113" s="4" t="inlineStr">
        <is>
          <t>g</t>
        </is>
      </c>
      <c r="K113" s="6" t="n">
        <v>0.002976190476190476</v>
      </c>
      <c r="L113" s="6" t="n">
        <v>0.03571428571428571</v>
      </c>
      <c r="M113" s="7">
        <f>I113*K113</f>
        <v/>
      </c>
      <c r="N113" s="7">
        <f>I113*L113</f>
        <v/>
      </c>
      <c r="O113" s="7">
        <f>N113-M113</f>
        <v/>
      </c>
      <c r="P113" s="7" t="n">
        <v>35.71428571428572</v>
      </c>
      <c r="Q113" s="4" t="inlineStr">
        <is>
          <t>kg</t>
        </is>
      </c>
      <c r="R113" s="4" t="inlineStr">
        <is>
          <t>525 case</t>
        </is>
      </c>
    </row>
    <row r="114">
      <c r="A114" s="4" t="inlineStr">
        <is>
          <t>Gelatin</t>
        </is>
      </c>
      <c r="B114" s="4" t="inlineStr">
        <is>
          <t>DRY</t>
        </is>
      </c>
      <c r="C114" s="4" t="inlineStr">
        <is>
          <t>PREP-AREA</t>
        </is>
      </c>
      <c r="D114" s="4" t="inlineStr"/>
      <c r="E114" s="4" t="inlineStr">
        <is>
          <t>Physically counted 2026-08-01</t>
        </is>
      </c>
      <c r="F114" s="4" t="inlineStr">
        <is>
          <t>2026-08-01</t>
        </is>
      </c>
      <c r="G114" s="5" t="n">
        <v>0.84</v>
      </c>
      <c r="H114" s="4" t="inlineStr">
        <is>
          <t>kg</t>
        </is>
      </c>
      <c r="I114" s="5" t="n">
        <v>840</v>
      </c>
      <c r="J114" s="4" t="inlineStr">
        <is>
          <t>g</t>
        </is>
      </c>
      <c r="K114" s="6" t="n">
        <v>0.05305</v>
      </c>
      <c r="L114" s="6" t="n">
        <v>0.05305</v>
      </c>
      <c r="M114" s="7">
        <f>I114*K114</f>
        <v/>
      </c>
      <c r="N114" s="7">
        <f>I114*L114</f>
        <v/>
      </c>
      <c r="O114" s="7">
        <f>N114-M114</f>
        <v/>
      </c>
      <c r="P114" s="7" t="n">
        <v>53.05</v>
      </c>
      <c r="Q114" s="4" t="inlineStr">
        <is>
          <t>kg</t>
        </is>
      </c>
      <c r="R114" s="4" t="inlineStr">
        <is>
          <t>1 each → 1000 each</t>
        </is>
      </c>
    </row>
    <row r="115">
      <c r="A115" s="4" t="inlineStr">
        <is>
          <t>GF panko</t>
        </is>
      </c>
      <c r="B115" s="4" t="inlineStr">
        <is>
          <t>DRY</t>
        </is>
      </c>
      <c r="C115" s="4" t="inlineStr">
        <is>
          <t>PREP-AREA</t>
        </is>
      </c>
      <c r="D115" s="4" t="inlineStr"/>
      <c r="E115" s="4" t="inlineStr">
        <is>
          <t>Physically counted 2026-08-01</t>
        </is>
      </c>
      <c r="F115" s="4" t="inlineStr">
        <is>
          <t>2026-08-01</t>
        </is>
      </c>
      <c r="G115" s="5" t="n">
        <v>10</v>
      </c>
      <c r="H115" s="4" t="inlineStr">
        <is>
          <t>kg</t>
        </is>
      </c>
      <c r="I115" s="5" t="n">
        <v>10000</v>
      </c>
      <c r="J115" s="4" t="inlineStr">
        <is>
          <t>g</t>
        </is>
      </c>
      <c r="K115" s="6" t="n">
        <v>0.02094246224213243</v>
      </c>
      <c r="L115" s="6" t="n">
        <v>0.02094246224213243</v>
      </c>
      <c r="M115" s="7">
        <f>I115*K115</f>
        <v/>
      </c>
      <c r="N115" s="7">
        <f>I115*L115</f>
        <v/>
      </c>
      <c r="O115" s="7">
        <f>N115-M115</f>
        <v/>
      </c>
      <c r="P115" s="7" t="n">
        <v>20.94246224213243</v>
      </c>
      <c r="Q115" s="4" t="inlineStr">
        <is>
          <t>kg</t>
        </is>
      </c>
      <c r="R115" s="4" t="inlineStr">
        <is>
          <t>6 case → 1133.98 each</t>
        </is>
      </c>
    </row>
    <row r="116">
      <c r="A116" s="4" t="inlineStr">
        <is>
          <t>Gluten Free Flour</t>
        </is>
      </c>
      <c r="B116" s="4" t="inlineStr">
        <is>
          <t>DRY</t>
        </is>
      </c>
      <c r="C116" s="4" t="inlineStr">
        <is>
          <t>PREP-AREA</t>
        </is>
      </c>
      <c r="D116" s="4" t="inlineStr"/>
      <c r="E116" s="4" t="inlineStr">
        <is>
          <t>Physically counted 2026-08-01</t>
        </is>
      </c>
      <c r="F116" s="4" t="inlineStr">
        <is>
          <t>2026-08-01</t>
        </is>
      </c>
      <c r="G116" s="5" t="n">
        <v>0</v>
      </c>
      <c r="H116" s="4" t="inlineStr">
        <is>
          <t>kg</t>
        </is>
      </c>
      <c r="I116" s="5" t="n">
        <v>0</v>
      </c>
      <c r="J116" s="4" t="inlineStr">
        <is>
          <t>g</t>
        </is>
      </c>
      <c r="K116" s="6" t="n">
        <v>0.00728</v>
      </c>
      <c r="L116" s="6" t="n">
        <v>0.00728</v>
      </c>
      <c r="M116" s="7">
        <f>I116*K116</f>
        <v/>
      </c>
      <c r="N116" s="7">
        <f>I116*L116</f>
        <v/>
      </c>
      <c r="O116" s="7">
        <f>N116-M116</f>
        <v/>
      </c>
      <c r="P116" s="7" t="n">
        <v>7.28</v>
      </c>
      <c r="Q116" s="4" t="inlineStr">
        <is>
          <t>kg</t>
        </is>
      </c>
      <c r="R116" s="4" t="inlineStr">
        <is>
          <t>1 case → 10000 each</t>
        </is>
      </c>
    </row>
    <row r="117">
      <c r="A117" s="4" t="inlineStr">
        <is>
          <t>Gochujang</t>
        </is>
      </c>
      <c r="B117" s="4" t="inlineStr">
        <is>
          <t>DRY</t>
        </is>
      </c>
      <c r="C117" s="4" t="inlineStr">
        <is>
          <t>PREP-AREA</t>
        </is>
      </c>
      <c r="D117" s="4" t="inlineStr">
        <is>
          <t>Sysco</t>
        </is>
      </c>
      <c r="E117" s="4" t="inlineStr">
        <is>
          <t>Physically counted 2026-08-01</t>
        </is>
      </c>
      <c r="F117" s="4" t="inlineStr">
        <is>
          <t>2026-08-01</t>
        </is>
      </c>
      <c r="G117" s="5" t="n">
        <v>6</v>
      </c>
      <c r="H117" s="4" t="inlineStr">
        <is>
          <t>each</t>
        </is>
      </c>
      <c r="I117" s="5" t="n">
        <v>2993.7072</v>
      </c>
      <c r="J117" s="4" t="inlineStr">
        <is>
          <t>g</t>
        </is>
      </c>
      <c r="K117" s="6" t="n">
        <v>0.02036438299644</v>
      </c>
      <c r="L117" s="6" t="n">
        <v>0.02036438299644</v>
      </c>
      <c r="M117" s="7">
        <f>I117*K117</f>
        <v/>
      </c>
      <c r="N117" s="7">
        <f>I117*L117</f>
        <v/>
      </c>
      <c r="O117" s="7">
        <f>N117-M117</f>
        <v/>
      </c>
      <c r="P117" s="7" t="n">
        <v>20.36438299644</v>
      </c>
      <c r="Q117" s="4" t="inlineStr">
        <is>
          <t>kg</t>
        </is>
      </c>
      <c r="R117" s="4" t="inlineStr">
        <is>
          <t>12 case → 498.9512 each</t>
        </is>
      </c>
    </row>
    <row r="118">
      <c r="A118" s="4" t="inlineStr">
        <is>
          <t>Graham Crumbs</t>
        </is>
      </c>
      <c r="B118" s="4" t="inlineStr">
        <is>
          <t>DRY</t>
        </is>
      </c>
      <c r="C118" s="4" t="inlineStr">
        <is>
          <t>PREP-AREA</t>
        </is>
      </c>
      <c r="D118" s="4" t="inlineStr"/>
      <c r="E118" s="4" t="inlineStr">
        <is>
          <t>Physically counted 2026-08-01</t>
        </is>
      </c>
      <c r="F118" s="4" t="inlineStr">
        <is>
          <t>2026-08-01</t>
        </is>
      </c>
      <c r="G118" s="5" t="n">
        <v>1.3</v>
      </c>
      <c r="H118" s="4" t="inlineStr">
        <is>
          <t>kg</t>
        </is>
      </c>
      <c r="I118" s="5" t="n">
        <v>1300</v>
      </c>
      <c r="J118" s="4" t="inlineStr">
        <is>
          <t>g</t>
        </is>
      </c>
      <c r="K118" s="6" t="n">
        <v>0.005376</v>
      </c>
      <c r="L118" s="6" t="n">
        <v>0.005376</v>
      </c>
      <c r="M118" s="7">
        <f>I118*K118</f>
        <v/>
      </c>
      <c r="N118" s="7">
        <f>I118*L118</f>
        <v/>
      </c>
      <c r="O118" s="7">
        <f>N118-M118</f>
        <v/>
      </c>
      <c r="P118" s="7" t="n">
        <v>5.375999999999999</v>
      </c>
      <c r="Q118" s="4" t="inlineStr">
        <is>
          <t>kg</t>
        </is>
      </c>
      <c r="R118" s="4" t="inlineStr">
        <is>
          <t>1 each → 5000 each</t>
        </is>
      </c>
    </row>
    <row r="119">
      <c r="A119" s="4" t="inlineStr">
        <is>
          <t>Granny Smith apple</t>
        </is>
      </c>
      <c r="B119" s="4" t="inlineStr">
        <is>
          <t>DRY</t>
        </is>
      </c>
      <c r="C119" s="4" t="inlineStr"/>
      <c r="D119" s="4" t="inlineStr">
        <is>
          <t>Sysco</t>
        </is>
      </c>
      <c r="E119" s="4" t="inlineStr">
        <is>
          <t>Physically counted 2026-08-01</t>
        </is>
      </c>
      <c r="F119" s="4" t="inlineStr">
        <is>
          <t>2026-08-01</t>
        </is>
      </c>
      <c r="G119" s="5" t="n">
        <v>0</v>
      </c>
      <c r="H119" s="4" t="inlineStr">
        <is>
          <t>each</t>
        </is>
      </c>
      <c r="I119" s="5" t="n">
        <v>0</v>
      </c>
      <c r="J119" s="4" t="inlineStr">
        <is>
          <t>each</t>
        </is>
      </c>
      <c r="K119" s="6" t="n">
        <v>0.4635398230088496</v>
      </c>
      <c r="L119" s="6" t="n">
        <v>0.4634513274336283</v>
      </c>
      <c r="M119" s="7">
        <f>I119*K119</f>
        <v/>
      </c>
      <c r="N119" s="7">
        <f>I119*L119</f>
        <v/>
      </c>
      <c r="O119" s="7">
        <f>N119-M119</f>
        <v/>
      </c>
      <c r="P119" s="7" t="n">
        <v>0.4634513274336283</v>
      </c>
      <c r="Q119" s="4" t="inlineStr">
        <is>
          <t>each</t>
        </is>
      </c>
      <c r="R119" s="4" t="inlineStr">
        <is>
          <t>113 case</t>
        </is>
      </c>
    </row>
    <row r="120">
      <c r="A120" s="4" t="inlineStr">
        <is>
          <t>Green Peppercorns</t>
        </is>
      </c>
      <c r="B120" s="4" t="inlineStr">
        <is>
          <t>DRY</t>
        </is>
      </c>
      <c r="C120" s="4" t="inlineStr"/>
      <c r="D120" s="4" t="inlineStr"/>
      <c r="E120" s="4" t="inlineStr">
        <is>
          <t>Physically counted 2026-08-01</t>
        </is>
      </c>
      <c r="F120" s="4" t="inlineStr">
        <is>
          <t>2026-08-01</t>
        </is>
      </c>
      <c r="G120" s="5" t="n">
        <v>10</v>
      </c>
      <c r="H120" s="4" t="inlineStr">
        <is>
          <t>each</t>
        </is>
      </c>
      <c r="I120" s="5" t="n">
        <v>2120</v>
      </c>
      <c r="J120" s="4" t="inlineStr">
        <is>
          <t>ml</t>
        </is>
      </c>
      <c r="K120" s="6" t="n">
        <v>0.03007075471698113</v>
      </c>
      <c r="L120" s="6" t="n">
        <v>0.03007075471698113</v>
      </c>
      <c r="M120" s="7">
        <f>I120*K120</f>
        <v/>
      </c>
      <c r="N120" s="7">
        <f>I120*L120</f>
        <v/>
      </c>
      <c r="O120" s="7">
        <f>N120-M120</f>
        <v/>
      </c>
      <c r="P120" s="7" t="n">
        <v>30.07075471698113</v>
      </c>
      <c r="Q120" s="4" t="inlineStr">
        <is>
          <t>L</t>
        </is>
      </c>
      <c r="R120" s="4" t="inlineStr">
        <is>
          <t>24 case → 212 each</t>
        </is>
      </c>
    </row>
    <row r="121">
      <c r="A121" s="4" t="inlineStr">
        <is>
          <t>Ground Cardamom</t>
        </is>
      </c>
      <c r="B121" s="4" t="inlineStr">
        <is>
          <t>DRY</t>
        </is>
      </c>
      <c r="C121" s="4" t="inlineStr">
        <is>
          <t>PREP-AREA</t>
        </is>
      </c>
      <c r="D121" s="4" t="inlineStr"/>
      <c r="E121" s="4" t="inlineStr">
        <is>
          <t>Physically counted 2026-08-01</t>
        </is>
      </c>
      <c r="F121" s="4" t="inlineStr">
        <is>
          <t>2026-08-01</t>
        </is>
      </c>
      <c r="G121" s="5" t="n">
        <v>0.48</v>
      </c>
      <c r="H121" s="4" t="inlineStr">
        <is>
          <t>kg</t>
        </is>
      </c>
      <c r="I121" s="5" t="n">
        <v>480</v>
      </c>
      <c r="J121" s="4" t="inlineStr">
        <is>
          <t>g</t>
        </is>
      </c>
      <c r="K121" s="6" t="n">
        <v>0.06862499999999999</v>
      </c>
      <c r="L121" s="6" t="n">
        <v>0.06862499999999999</v>
      </c>
      <c r="M121" s="7">
        <f>I121*K121</f>
        <v/>
      </c>
      <c r="N121" s="7">
        <f>I121*L121</f>
        <v/>
      </c>
      <c r="O121" s="7">
        <f>N121-M121</f>
        <v/>
      </c>
      <c r="P121" s="7" t="n">
        <v>68.62499999999999</v>
      </c>
      <c r="Q121" s="4" t="inlineStr">
        <is>
          <t>kg</t>
        </is>
      </c>
      <c r="R121" s="4" t="inlineStr">
        <is>
          <t>1 each → 800 each</t>
        </is>
      </c>
    </row>
    <row r="122">
      <c r="A122" s="4" t="inlineStr">
        <is>
          <t>Ground Ginger</t>
        </is>
      </c>
      <c r="B122" s="4" t="inlineStr">
        <is>
          <t>DRY</t>
        </is>
      </c>
      <c r="C122" s="4" t="inlineStr"/>
      <c r="D122" s="4" t="inlineStr"/>
      <c r="E122" s="4" t="inlineStr">
        <is>
          <t>Physically counted 2026-08-01</t>
        </is>
      </c>
      <c r="F122" s="4" t="inlineStr">
        <is>
          <t>2026-08-01</t>
        </is>
      </c>
      <c r="G122" s="5" t="n">
        <v>1.5</v>
      </c>
      <c r="H122" s="4" t="inlineStr">
        <is>
          <t>kg</t>
        </is>
      </c>
      <c r="I122" s="5" t="n">
        <v>1500</v>
      </c>
      <c r="J122" s="4" t="inlineStr">
        <is>
          <t>g</t>
        </is>
      </c>
      <c r="K122" s="6" t="n">
        <v>0.0199875</v>
      </c>
      <c r="L122" s="6" t="n">
        <v>0.0199875</v>
      </c>
      <c r="M122" s="7">
        <f>I122*K122</f>
        <v/>
      </c>
      <c r="N122" s="7">
        <f>I122*L122</f>
        <v/>
      </c>
      <c r="O122" s="7">
        <f>N122-M122</f>
        <v/>
      </c>
      <c r="P122" s="7" t="n">
        <v>19.9875</v>
      </c>
      <c r="Q122" s="4" t="inlineStr">
        <is>
          <t>kg</t>
        </is>
      </c>
      <c r="R122" s="4" t="inlineStr">
        <is>
          <t>1 each → 800 each</t>
        </is>
      </c>
    </row>
    <row r="123">
      <c r="A123" s="4" t="inlineStr">
        <is>
          <t>gum xantham</t>
        </is>
      </c>
      <c r="B123" s="4" t="inlineStr">
        <is>
          <t>DRY</t>
        </is>
      </c>
      <c r="C123" s="4" t="inlineStr">
        <is>
          <t>PREP-AREA</t>
        </is>
      </c>
      <c r="D123" s="4" t="inlineStr"/>
      <c r="E123" s="4" t="inlineStr">
        <is>
          <t>Physically counted 2026-08-01</t>
        </is>
      </c>
      <c r="F123" s="4" t="inlineStr">
        <is>
          <t>2026-08-01</t>
        </is>
      </c>
      <c r="G123" s="5" t="n">
        <v>100</v>
      </c>
      <c r="H123" s="4" t="inlineStr">
        <is>
          <t>g</t>
        </is>
      </c>
      <c r="I123" s="5" t="n">
        <v>100</v>
      </c>
      <c r="J123" s="4" t="inlineStr">
        <is>
          <t>g</t>
        </is>
      </c>
      <c r="K123" s="6" t="n">
        <v>0.02125</v>
      </c>
      <c r="L123" s="6" t="n">
        <v>0.02125</v>
      </c>
      <c r="M123" s="7">
        <f>I123*K123</f>
        <v/>
      </c>
      <c r="N123" s="7">
        <f>I123*L123</f>
        <v/>
      </c>
      <c r="O123" s="7">
        <f>N123-M123</f>
        <v/>
      </c>
      <c r="P123" s="7" t="n">
        <v>21.25</v>
      </c>
      <c r="Q123" s="4" t="inlineStr">
        <is>
          <t>kg</t>
        </is>
      </c>
      <c r="R123" s="4" t="inlineStr">
        <is>
          <t>1 each → 1000 each</t>
        </is>
      </c>
    </row>
    <row r="124">
      <c r="A124" s="4" t="inlineStr">
        <is>
          <t>Hawaiian black salt</t>
        </is>
      </c>
      <c r="B124" s="4" t="inlineStr">
        <is>
          <t>DRY</t>
        </is>
      </c>
      <c r="C124" s="4" t="inlineStr">
        <is>
          <t>PREP-AREA</t>
        </is>
      </c>
      <c r="D124" s="4" t="inlineStr"/>
      <c r="E124" s="4" t="inlineStr">
        <is>
          <t>Physically counted 2026-08-01</t>
        </is>
      </c>
      <c r="F124" s="4" t="inlineStr">
        <is>
          <t>2026-08-01</t>
        </is>
      </c>
      <c r="G124" s="5" t="n">
        <v>0</v>
      </c>
      <c r="H124" s="4" t="inlineStr">
        <is>
          <t>each</t>
        </is>
      </c>
      <c r="I124" s="5" t="n">
        <v>0</v>
      </c>
      <c r="J124" s="4" t="inlineStr">
        <is>
          <t>g</t>
        </is>
      </c>
      <c r="K124" s="6" t="n">
        <v>0.08334801762114538</v>
      </c>
      <c r="L124" s="6" t="n">
        <v>0.08334801762114538</v>
      </c>
      <c r="M124" s="7">
        <f>I124*K124</f>
        <v/>
      </c>
      <c r="N124" s="7">
        <f>I124*L124</f>
        <v/>
      </c>
      <c r="O124" s="7">
        <f>N124-M124</f>
        <v/>
      </c>
      <c r="P124" s="7" t="n">
        <v>83.34801762114539</v>
      </c>
      <c r="Q124" s="4" t="inlineStr">
        <is>
          <t>kg</t>
        </is>
      </c>
      <c r="R124" s="4" t="inlineStr">
        <is>
          <t>1 each → 454 each</t>
        </is>
      </c>
    </row>
    <row r="125">
      <c r="A125" s="4" t="inlineStr">
        <is>
          <t>Hazelnuts</t>
        </is>
      </c>
      <c r="B125" s="4" t="inlineStr">
        <is>
          <t>DRY</t>
        </is>
      </c>
      <c r="C125" s="4" t="inlineStr">
        <is>
          <t>PREP-AREA</t>
        </is>
      </c>
      <c r="D125" s="4" t="inlineStr"/>
      <c r="E125" s="4" t="inlineStr">
        <is>
          <t>Physically counted 2026-08-01</t>
        </is>
      </c>
      <c r="F125" s="4" t="inlineStr">
        <is>
          <t>2026-08-01</t>
        </is>
      </c>
      <c r="G125" s="5" t="n">
        <v>2</v>
      </c>
      <c r="H125" s="4" t="inlineStr">
        <is>
          <t>kg</t>
        </is>
      </c>
      <c r="I125" s="5" t="n">
        <v>2000</v>
      </c>
      <c r="J125" s="4" t="inlineStr">
        <is>
          <t>g</t>
        </is>
      </c>
      <c r="K125" s="6" t="n">
        <v>0.0455</v>
      </c>
      <c r="L125" s="6" t="n">
        <v>0.0455</v>
      </c>
      <c r="M125" s="7">
        <f>I125*K125</f>
        <v/>
      </c>
      <c r="N125" s="7">
        <f>I125*L125</f>
        <v/>
      </c>
      <c r="O125" s="7">
        <f>N125-M125</f>
        <v/>
      </c>
      <c r="P125" s="7" t="n">
        <v>45.5</v>
      </c>
      <c r="Q125" s="4" t="inlineStr">
        <is>
          <t>kg</t>
        </is>
      </c>
      <c r="R125" s="4" t="inlineStr">
        <is>
          <t>1 each → 1500 each</t>
        </is>
      </c>
    </row>
    <row r="126">
      <c r="A126" s="4" t="inlineStr">
        <is>
          <t>Honey</t>
        </is>
      </c>
      <c r="B126" s="4" t="inlineStr">
        <is>
          <t>DRY</t>
        </is>
      </c>
      <c r="C126" s="4" t="inlineStr">
        <is>
          <t>PREP-AREA</t>
        </is>
      </c>
      <c r="D126" s="4" t="inlineStr"/>
      <c r="E126" s="4" t="inlineStr">
        <is>
          <t>Physically counted 2026-08-01</t>
        </is>
      </c>
      <c r="F126" s="4" t="inlineStr">
        <is>
          <t>2026-08-01</t>
        </is>
      </c>
      <c r="G126" s="5" t="n">
        <v>1</v>
      </c>
      <c r="H126" s="4" t="inlineStr">
        <is>
          <t>each</t>
        </is>
      </c>
      <c r="I126" s="5" t="n">
        <v>15000</v>
      </c>
      <c r="J126" s="4" t="inlineStr">
        <is>
          <t>g</t>
        </is>
      </c>
      <c r="K126" s="6" t="n">
        <v>0.007937333333333333</v>
      </c>
      <c r="L126" s="6" t="n">
        <v>0.007937333333333333</v>
      </c>
      <c r="M126" s="7">
        <f>I126*K126</f>
        <v/>
      </c>
      <c r="N126" s="7">
        <f>I126*L126</f>
        <v/>
      </c>
      <c r="O126" s="7">
        <f>N126-M126</f>
        <v/>
      </c>
      <c r="P126" s="7" t="n">
        <v>7.937333333333333</v>
      </c>
      <c r="Q126" s="4" t="inlineStr">
        <is>
          <t>kg</t>
        </is>
      </c>
      <c r="R126" s="4" t="inlineStr">
        <is>
          <t>1 each → 15000 each</t>
        </is>
      </c>
    </row>
    <row r="127">
      <c r="A127" s="4" t="inlineStr">
        <is>
          <t>iota carragean</t>
        </is>
      </c>
      <c r="B127" s="4" t="inlineStr">
        <is>
          <t>DRY</t>
        </is>
      </c>
      <c r="C127" s="4" t="inlineStr">
        <is>
          <t>PREP-AREA</t>
        </is>
      </c>
      <c r="D127" s="4" t="inlineStr"/>
      <c r="E127" s="4" t="inlineStr">
        <is>
          <t>Physically counted 2026-08-01</t>
        </is>
      </c>
      <c r="F127" s="4" t="inlineStr">
        <is>
          <t>2026-08-01</t>
        </is>
      </c>
      <c r="G127" s="5" t="n">
        <v>0.847</v>
      </c>
      <c r="H127" s="4" t="inlineStr">
        <is>
          <t>kg</t>
        </is>
      </c>
      <c r="I127" s="5" t="n">
        <v>847</v>
      </c>
      <c r="J127" s="4" t="inlineStr">
        <is>
          <t>g</t>
        </is>
      </c>
      <c r="K127" s="6" t="n">
        <v>0.19692</v>
      </c>
      <c r="L127" s="6" t="n">
        <v>0.19692</v>
      </c>
      <c r="M127" s="7">
        <f>I127*K127</f>
        <v/>
      </c>
      <c r="N127" s="7">
        <f>I127*L127</f>
        <v/>
      </c>
      <c r="O127" s="7">
        <f>N127-M127</f>
        <v/>
      </c>
      <c r="P127" s="7" t="n">
        <v>196.92</v>
      </c>
      <c r="Q127" s="4" t="inlineStr">
        <is>
          <t>kg</t>
        </is>
      </c>
      <c r="R127" s="4" t="inlineStr">
        <is>
          <t>1 each → 500 each</t>
        </is>
      </c>
    </row>
    <row r="128">
      <c r="A128" s="4" t="inlineStr">
        <is>
          <t>Jasmine Rice</t>
        </is>
      </c>
      <c r="B128" s="4" t="inlineStr">
        <is>
          <t>DRY</t>
        </is>
      </c>
      <c r="C128" s="4" t="inlineStr"/>
      <c r="D128" s="4" t="inlineStr">
        <is>
          <t>Sysco</t>
        </is>
      </c>
      <c r="E128" s="4" t="inlineStr">
        <is>
          <t>Physically counted 2026-08-01</t>
        </is>
      </c>
      <c r="F128" s="4" t="inlineStr">
        <is>
          <t>2026-08-01</t>
        </is>
      </c>
      <c r="G128" s="5" t="n">
        <v>0</v>
      </c>
      <c r="H128" s="4" t="inlineStr">
        <is>
          <t>cs</t>
        </is>
      </c>
      <c r="I128" s="5" t="n">
        <v>0</v>
      </c>
      <c r="J128" s="4" t="inlineStr">
        <is>
          <t>g</t>
        </is>
      </c>
      <c r="K128" s="6" t="n">
        <v>0.002761878453038674</v>
      </c>
      <c r="L128" s="6" t="n">
        <v>0.002761878453038674</v>
      </c>
      <c r="M128" s="7">
        <f>I128*K128</f>
        <v/>
      </c>
      <c r="N128" s="7">
        <f>I128*L128</f>
        <v/>
      </c>
      <c r="O128" s="7">
        <f>N128-M128</f>
        <v/>
      </c>
      <c r="P128" s="7" t="n">
        <v>2.761878453038674</v>
      </c>
      <c r="Q128" s="4" t="inlineStr">
        <is>
          <t>kg</t>
        </is>
      </c>
      <c r="R128" s="4" t="inlineStr">
        <is>
          <t>18100 cs</t>
        </is>
      </c>
    </row>
    <row r="129">
      <c r="A129" s="4" t="inlineStr">
        <is>
          <t>Juniper Berries</t>
        </is>
      </c>
      <c r="B129" s="4" t="inlineStr">
        <is>
          <t>DRY</t>
        </is>
      </c>
      <c r="C129" s="4" t="inlineStr">
        <is>
          <t>PREP-AREA</t>
        </is>
      </c>
      <c r="D129" s="4" t="inlineStr"/>
      <c r="E129" s="4" t="inlineStr">
        <is>
          <t>Physically counted 2026-08-01</t>
        </is>
      </c>
      <c r="F129" s="4" t="inlineStr">
        <is>
          <t>2026-08-01</t>
        </is>
      </c>
      <c r="G129" s="5" t="n">
        <v>0</v>
      </c>
      <c r="H129" s="4" t="inlineStr">
        <is>
          <t>kg</t>
        </is>
      </c>
      <c r="I129" s="5" t="n">
        <v>0</v>
      </c>
      <c r="J129" s="4" t="inlineStr">
        <is>
          <t>g</t>
        </is>
      </c>
      <c r="K129" s="6" t="n">
        <v>0.1010333333333333</v>
      </c>
      <c r="L129" s="6" t="n">
        <v>0.1010333333333333</v>
      </c>
      <c r="M129" s="7">
        <f>I129*K129</f>
        <v/>
      </c>
      <c r="N129" s="7">
        <f>I129*L129</f>
        <v/>
      </c>
      <c r="O129" s="7">
        <f>N129-M129</f>
        <v/>
      </c>
      <c r="P129" s="7" t="n">
        <v>101.0333333333333</v>
      </c>
      <c r="Q129" s="4" t="inlineStr">
        <is>
          <t>kg</t>
        </is>
      </c>
      <c r="R129" s="4" t="inlineStr">
        <is>
          <t>1 each → 300 each</t>
        </is>
      </c>
    </row>
    <row r="130">
      <c r="A130" s="4" t="inlineStr">
        <is>
          <t>Kalamata olive brine</t>
        </is>
      </c>
      <c r="B130" s="4" t="inlineStr">
        <is>
          <t>DRY</t>
        </is>
      </c>
      <c r="C130" s="4" t="inlineStr"/>
      <c r="D130" s="4" t="inlineStr"/>
      <c r="E130" s="4" t="inlineStr">
        <is>
          <t>Physically counted 2026-08-01</t>
        </is>
      </c>
      <c r="F130" s="4" t="inlineStr">
        <is>
          <t>2026-08-01</t>
        </is>
      </c>
      <c r="G130" s="5" t="n">
        <v>0</v>
      </c>
      <c r="H130" s="4" t="inlineStr">
        <is>
          <t>g</t>
        </is>
      </c>
      <c r="I130" s="5" t="n">
        <v>0</v>
      </c>
      <c r="J130" s="4" t="inlineStr">
        <is>
          <t>g</t>
        </is>
      </c>
      <c r="K130" s="6" t="n">
        <v>0</v>
      </c>
      <c r="L130" s="6" t="n">
        <v>0</v>
      </c>
      <c r="M130" s="7">
        <f>I130*K130</f>
        <v/>
      </c>
      <c r="N130" s="7">
        <f>I130*L130</f>
        <v/>
      </c>
      <c r="O130" s="7">
        <f>N130-M130</f>
        <v/>
      </c>
      <c r="P130" s="7" t="n">
        <v>0</v>
      </c>
      <c r="Q130" s="4" t="inlineStr">
        <is>
          <t>kg</t>
        </is>
      </c>
      <c r="R130" s="4" t="inlineStr">
        <is>
          <t>1 each → 1 each</t>
        </is>
      </c>
    </row>
    <row r="131">
      <c r="A131" s="4" t="inlineStr">
        <is>
          <t>kappa Carrageenan</t>
        </is>
      </c>
      <c r="B131" s="4" t="inlineStr">
        <is>
          <t>DRY</t>
        </is>
      </c>
      <c r="C131" s="4" t="inlineStr">
        <is>
          <t>PREP-AREA</t>
        </is>
      </c>
      <c r="D131" s="4" t="inlineStr"/>
      <c r="E131" s="4" t="inlineStr">
        <is>
          <t>Physically counted 2026-08-01</t>
        </is>
      </c>
      <c r="F131" s="4" t="inlineStr">
        <is>
          <t>2026-08-01</t>
        </is>
      </c>
      <c r="G131" s="5" t="n">
        <v>0.798</v>
      </c>
      <c r="H131" s="4" t="inlineStr">
        <is>
          <t>kg</t>
        </is>
      </c>
      <c r="I131" s="5" t="n">
        <v>798</v>
      </c>
      <c r="J131" s="4" t="inlineStr">
        <is>
          <t>g</t>
        </is>
      </c>
      <c r="K131" s="6" t="n">
        <v>0.10092</v>
      </c>
      <c r="L131" s="6" t="n">
        <v>0.10092</v>
      </c>
      <c r="M131" s="7">
        <f>I131*K131</f>
        <v/>
      </c>
      <c r="N131" s="7">
        <f>I131*L131</f>
        <v/>
      </c>
      <c r="O131" s="7">
        <f>N131-M131</f>
        <v/>
      </c>
      <c r="P131" s="7" t="n">
        <v>100.92</v>
      </c>
      <c r="Q131" s="4" t="inlineStr">
        <is>
          <t>kg</t>
        </is>
      </c>
      <c r="R131" s="4" t="inlineStr">
        <is>
          <t>1 each → 500 each</t>
        </is>
      </c>
    </row>
    <row r="132">
      <c r="A132" s="4" t="inlineStr">
        <is>
          <t>kelp</t>
        </is>
      </c>
      <c r="B132" s="4" t="inlineStr">
        <is>
          <t>DRY</t>
        </is>
      </c>
      <c r="C132" s="4" t="inlineStr">
        <is>
          <t>PREP-AREA</t>
        </is>
      </c>
      <c r="D132" s="4" t="inlineStr"/>
      <c r="E132" s="4" t="inlineStr">
        <is>
          <t>Physically counted 2026-08-01</t>
        </is>
      </c>
      <c r="F132" s="4" t="inlineStr">
        <is>
          <t>2026-08-01</t>
        </is>
      </c>
      <c r="G132" s="5" t="n">
        <v>0.34</v>
      </c>
      <c r="H132" s="4" t="inlineStr">
        <is>
          <t>kg</t>
        </is>
      </c>
      <c r="I132" s="5" t="n">
        <v>340</v>
      </c>
      <c r="J132" s="4" t="inlineStr">
        <is>
          <t>g</t>
        </is>
      </c>
      <c r="K132" s="6" t="n">
        <v>0.07453</v>
      </c>
      <c r="L132" s="6" t="n">
        <v>0.07453</v>
      </c>
      <c r="M132" s="7">
        <f>I132*K132</f>
        <v/>
      </c>
      <c r="N132" s="7">
        <f>I132*L132</f>
        <v/>
      </c>
      <c r="O132" s="7">
        <f>N132-M132</f>
        <v/>
      </c>
      <c r="P132" s="7" t="n">
        <v>74.53</v>
      </c>
      <c r="Q132" s="4" t="inlineStr">
        <is>
          <t>kg</t>
        </is>
      </c>
      <c r="R132" s="4" t="inlineStr">
        <is>
          <t>1 each → 1000 each</t>
        </is>
      </c>
    </row>
    <row r="133">
      <c r="A133" s="4" t="inlineStr">
        <is>
          <t>Ketchup</t>
        </is>
      </c>
      <c r="B133" s="4" t="inlineStr">
        <is>
          <t>DRY</t>
        </is>
      </c>
      <c r="C133" s="4" t="inlineStr">
        <is>
          <t>PREP-AREA</t>
        </is>
      </c>
      <c r="D133" s="4" t="inlineStr">
        <is>
          <t>Sysco</t>
        </is>
      </c>
      <c r="E133" s="4" t="inlineStr">
        <is>
          <t>Physically counted 2026-08-01</t>
        </is>
      </c>
      <c r="F133" s="4" t="inlineStr">
        <is>
          <t>2026-08-01</t>
        </is>
      </c>
      <c r="G133" s="5" t="n">
        <v>1</v>
      </c>
      <c r="H133" s="4" t="inlineStr">
        <is>
          <t>each</t>
        </is>
      </c>
      <c r="I133" s="5" t="n">
        <v>11350</v>
      </c>
      <c r="J133" s="4" t="inlineStr">
        <is>
          <t>ml</t>
        </is>
      </c>
      <c r="K133" s="6" t="n">
        <v>0.005101321585903084</v>
      </c>
      <c r="L133" s="6" t="n">
        <v>0.004652863436123349</v>
      </c>
      <c r="M133" s="7">
        <f>I133*K133</f>
        <v/>
      </c>
      <c r="N133" s="7">
        <f>I133*L133</f>
        <v/>
      </c>
      <c r="O133" s="7">
        <f>N133-M133</f>
        <v/>
      </c>
      <c r="P133" s="7" t="n">
        <v>4.652863436123348</v>
      </c>
      <c r="Q133" s="4" t="inlineStr">
        <is>
          <t>L</t>
        </is>
      </c>
      <c r="R133" s="4" t="inlineStr">
        <is>
          <t>1 each → 11350 each</t>
        </is>
      </c>
    </row>
    <row r="134">
      <c r="A134" s="4" t="inlineStr">
        <is>
          <t>Koji Rice</t>
        </is>
      </c>
      <c r="B134" s="4" t="inlineStr">
        <is>
          <t>DRY</t>
        </is>
      </c>
      <c r="C134" s="4" t="inlineStr">
        <is>
          <t>PREP-AREA</t>
        </is>
      </c>
      <c r="D134" s="4" t="inlineStr"/>
      <c r="E134" s="4" t="inlineStr">
        <is>
          <t>Physically counted 2026-08-01</t>
        </is>
      </c>
      <c r="F134" s="4" t="inlineStr">
        <is>
          <t>2026-08-01</t>
        </is>
      </c>
      <c r="G134" s="5" t="n">
        <v>3</v>
      </c>
      <c r="H134" s="4" t="inlineStr">
        <is>
          <t>kg</t>
        </is>
      </c>
      <c r="I134" s="5" t="n">
        <v>3000</v>
      </c>
      <c r="J134" s="4" t="inlineStr">
        <is>
          <t>g</t>
        </is>
      </c>
      <c r="K134" s="6" t="n">
        <v>0.05273127753303965</v>
      </c>
      <c r="L134" s="6" t="n">
        <v>0.05273127753303965</v>
      </c>
      <c r="M134" s="7">
        <f>I134*K134</f>
        <v/>
      </c>
      <c r="N134" s="7">
        <f>I134*L134</f>
        <v/>
      </c>
      <c r="O134" s="7">
        <f>N134-M134</f>
        <v/>
      </c>
      <c r="P134" s="7" t="n">
        <v>52.73127753303964</v>
      </c>
      <c r="Q134" s="4" t="inlineStr">
        <is>
          <t>kg</t>
        </is>
      </c>
      <c r="R134" s="4" t="inlineStr">
        <is>
          <t>1 each → 454 each</t>
        </is>
      </c>
    </row>
    <row r="135">
      <c r="A135" s="4" t="inlineStr">
        <is>
          <t>Kosher Salt</t>
        </is>
      </c>
      <c r="B135" s="4" t="inlineStr">
        <is>
          <t>DRY</t>
        </is>
      </c>
      <c r="C135" s="4" t="inlineStr"/>
      <c r="D135" s="4" t="inlineStr">
        <is>
          <t>Sysco</t>
        </is>
      </c>
      <c r="E135" s="4" t="inlineStr">
        <is>
          <t>Physically counted 2026-08-01</t>
        </is>
      </c>
      <c r="F135" s="4" t="inlineStr">
        <is>
          <t>2026-08-01</t>
        </is>
      </c>
      <c r="G135" s="5" t="n">
        <v>9</v>
      </c>
      <c r="H135" s="4" t="inlineStr">
        <is>
          <t>each</t>
        </is>
      </c>
      <c r="I135" s="5" t="n">
        <v>12246.984</v>
      </c>
      <c r="J135" s="4" t="inlineStr">
        <is>
          <t>g</t>
        </is>
      </c>
      <c r="K135" s="6" t="n">
        <v>0.009134493847628117</v>
      </c>
      <c r="L135" s="6" t="n">
        <v>0.009142659123258429</v>
      </c>
      <c r="M135" s="7">
        <f>I135*K135</f>
        <v/>
      </c>
      <c r="N135" s="7">
        <f>I135*L135</f>
        <v/>
      </c>
      <c r="O135" s="7">
        <f>N135-M135</f>
        <v/>
      </c>
      <c r="P135" s="7" t="n">
        <v>9.142659123258429</v>
      </c>
      <c r="Q135" s="4" t="inlineStr">
        <is>
          <t>kg</t>
        </is>
      </c>
      <c r="R135" s="4" t="inlineStr">
        <is>
          <t>9 case → 1360.776 each</t>
        </is>
      </c>
    </row>
    <row r="136">
      <c r="A136" s="4" t="inlineStr">
        <is>
          <t>Lemon Juice</t>
        </is>
      </c>
      <c r="B136" s="4" t="inlineStr">
        <is>
          <t>DRY</t>
        </is>
      </c>
      <c r="C136" s="4" t="inlineStr">
        <is>
          <t>PREP-AREA</t>
        </is>
      </c>
      <c r="D136" s="4" t="inlineStr"/>
      <c r="E136" s="4" t="inlineStr">
        <is>
          <t>Physically counted 2026-08-01</t>
        </is>
      </c>
      <c r="F136" s="4" t="inlineStr">
        <is>
          <t>2026-08-01</t>
        </is>
      </c>
      <c r="G136" s="5" t="n">
        <v>11</v>
      </c>
      <c r="H136" s="4" t="inlineStr">
        <is>
          <t>l</t>
        </is>
      </c>
      <c r="I136" s="5" t="n">
        <v>11000</v>
      </c>
      <c r="J136" s="4" t="inlineStr">
        <is>
          <t>ml</t>
        </is>
      </c>
      <c r="K136" s="6" t="n">
        <v>0.02191331923890064</v>
      </c>
      <c r="L136" s="6" t="n">
        <v>0.009565789473684212</v>
      </c>
      <c r="M136" s="7">
        <f>I136*K136</f>
        <v/>
      </c>
      <c r="N136" s="7">
        <f>I136*L136</f>
        <v/>
      </c>
      <c r="O136" s="7">
        <f>N136-M136</f>
        <v/>
      </c>
      <c r="P136" s="7" t="n">
        <v>9.565789473684212</v>
      </c>
      <c r="Q136" s="4" t="inlineStr">
        <is>
          <t>L</t>
        </is>
      </c>
      <c r="R136" s="4" t="inlineStr">
        <is>
          <t>3800 each</t>
        </is>
      </c>
    </row>
    <row r="137">
      <c r="A137" s="4" t="inlineStr">
        <is>
          <t>Lentils Black Beluga</t>
        </is>
      </c>
      <c r="B137" s="4" t="inlineStr">
        <is>
          <t>DRY</t>
        </is>
      </c>
      <c r="C137" s="4" t="inlineStr">
        <is>
          <t>PREP-AREA</t>
        </is>
      </c>
      <c r="D137" s="4" t="inlineStr">
        <is>
          <t>Sysco</t>
        </is>
      </c>
      <c r="E137" s="4" t="inlineStr">
        <is>
          <t>Physically counted 2026-08-01</t>
        </is>
      </c>
      <c r="F137" s="4" t="inlineStr">
        <is>
          <t>2026-08-01</t>
        </is>
      </c>
      <c r="G137" s="5" t="n">
        <v>10.1</v>
      </c>
      <c r="H137" s="4" t="inlineStr">
        <is>
          <t>kg</t>
        </is>
      </c>
      <c r="I137" s="5" t="n">
        <v>10100</v>
      </c>
      <c r="J137" s="4" t="inlineStr">
        <is>
          <t>g</t>
        </is>
      </c>
      <c r="K137" s="6" t="n">
        <v>0.007679999999999999</v>
      </c>
      <c r="L137" s="6" t="n">
        <v>0.007679999999999999</v>
      </c>
      <c r="M137" s="7">
        <f>I137*K137</f>
        <v/>
      </c>
      <c r="N137" s="7">
        <f>I137*L137</f>
        <v/>
      </c>
      <c r="O137" s="7">
        <f>N137-M137</f>
        <v/>
      </c>
      <c r="P137" s="7" t="n">
        <v>7.68</v>
      </c>
      <c r="Q137" s="4" t="inlineStr">
        <is>
          <t>kg</t>
        </is>
      </c>
      <c r="R137" s="4" t="inlineStr">
        <is>
          <t>2 case → 2500 each</t>
        </is>
      </c>
    </row>
    <row r="138">
      <c r="A138" s="4" t="inlineStr">
        <is>
          <t>Lentils French</t>
        </is>
      </c>
      <c r="B138" s="4" t="inlineStr">
        <is>
          <t>DRY</t>
        </is>
      </c>
      <c r="C138" s="4" t="inlineStr">
        <is>
          <t>PREP-AREA</t>
        </is>
      </c>
      <c r="D138" s="4" t="inlineStr"/>
      <c r="E138" s="4" t="inlineStr">
        <is>
          <t>Physically counted 2026-08-01</t>
        </is>
      </c>
      <c r="F138" s="4" t="inlineStr">
        <is>
          <t>2026-08-01</t>
        </is>
      </c>
      <c r="G138" s="5" t="n">
        <v>0</v>
      </c>
      <c r="H138" s="4" t="inlineStr">
        <is>
          <t>each</t>
        </is>
      </c>
      <c r="I138" s="5" t="n">
        <v>0</v>
      </c>
      <c r="J138" s="4" t="inlineStr">
        <is>
          <t>g</t>
        </is>
      </c>
      <c r="K138" s="6" t="n">
        <v>0.013662</v>
      </c>
      <c r="L138" s="6" t="n">
        <v>0.013662</v>
      </c>
      <c r="M138" s="7">
        <f>I138*K138</f>
        <v/>
      </c>
      <c r="N138" s="7">
        <f>I138*L138</f>
        <v/>
      </c>
      <c r="O138" s="7">
        <f>N138-M138</f>
        <v/>
      </c>
      <c r="P138" s="7" t="n">
        <v>13.662</v>
      </c>
      <c r="Q138" s="4" t="inlineStr">
        <is>
          <t>kg</t>
        </is>
      </c>
      <c r="R138" s="4" t="inlineStr">
        <is>
          <t>2 case → 2500 each</t>
        </is>
      </c>
    </row>
    <row r="139">
      <c r="A139" s="4" t="inlineStr">
        <is>
          <t>Lentils red</t>
        </is>
      </c>
      <c r="B139" s="4" t="inlineStr">
        <is>
          <t>DRY</t>
        </is>
      </c>
      <c r="C139" s="4" t="inlineStr">
        <is>
          <t>PREP-AREA</t>
        </is>
      </c>
      <c r="D139" s="4" t="inlineStr"/>
      <c r="E139" s="4" t="inlineStr">
        <is>
          <t>Physically counted 2026-08-01</t>
        </is>
      </c>
      <c r="F139" s="4" t="inlineStr">
        <is>
          <t>2026-08-01</t>
        </is>
      </c>
      <c r="G139" s="5" t="n">
        <v>0</v>
      </c>
      <c r="H139" s="4" t="inlineStr">
        <is>
          <t>each</t>
        </is>
      </c>
      <c r="I139" s="5" t="n">
        <v>0</v>
      </c>
      <c r="J139" s="4" t="inlineStr">
        <is>
          <t>g</t>
        </is>
      </c>
      <c r="K139" s="6" t="n">
        <v>0.00809</v>
      </c>
      <c r="L139" s="6" t="n">
        <v>0.00809</v>
      </c>
      <c r="M139" s="7">
        <f>I139*K139</f>
        <v/>
      </c>
      <c r="N139" s="7">
        <f>I139*L139</f>
        <v/>
      </c>
      <c r="O139" s="7">
        <f>N139-M139</f>
        <v/>
      </c>
      <c r="P139" s="7" t="n">
        <v>8.09</v>
      </c>
      <c r="Q139" s="4" t="inlineStr">
        <is>
          <t>kg</t>
        </is>
      </c>
      <c r="R139" s="4" t="inlineStr">
        <is>
          <t>2 case → 1500 each</t>
        </is>
      </c>
    </row>
    <row r="140">
      <c r="A140" s="4" t="inlineStr">
        <is>
          <t>Lime Juice</t>
        </is>
      </c>
      <c r="B140" s="4" t="inlineStr">
        <is>
          <t>DRY</t>
        </is>
      </c>
      <c r="C140" s="4" t="inlineStr">
        <is>
          <t>PREP-AREA</t>
        </is>
      </c>
      <c r="D140" s="4" t="inlineStr">
        <is>
          <t>Sysco</t>
        </is>
      </c>
      <c r="E140" s="4" t="inlineStr">
        <is>
          <t>Physically counted 2026-08-01</t>
        </is>
      </c>
      <c r="F140" s="4" t="inlineStr">
        <is>
          <t>2026-08-01</t>
        </is>
      </c>
      <c r="G140" s="5" t="n">
        <v>1.4</v>
      </c>
      <c r="H140" s="4" t="inlineStr">
        <is>
          <t>l</t>
        </is>
      </c>
      <c r="I140" s="5" t="n">
        <v>1400</v>
      </c>
      <c r="J140" s="4" t="inlineStr">
        <is>
          <t>ml</t>
        </is>
      </c>
      <c r="K140" s="6" t="n">
        <v>0.01058954596494941</v>
      </c>
      <c r="L140" s="6" t="n">
        <v>0.01058954596494941</v>
      </c>
      <c r="M140" s="7">
        <f>I140*K140</f>
        <v/>
      </c>
      <c r="N140" s="7">
        <f>I140*L140</f>
        <v/>
      </c>
      <c r="O140" s="7">
        <f>N140-M140</f>
        <v/>
      </c>
      <c r="P140" s="7" t="n">
        <v>10.58954596494941</v>
      </c>
      <c r="Q140" s="4" t="inlineStr">
        <is>
          <t>L</t>
        </is>
      </c>
      <c r="R140" s="4" t="inlineStr">
        <is>
          <t>6 case → 907.184 each</t>
        </is>
      </c>
    </row>
    <row r="141">
      <c r="A141" s="4" t="inlineStr">
        <is>
          <t>Maldon salt</t>
        </is>
      </c>
      <c r="B141" s="4" t="inlineStr">
        <is>
          <t>DRY</t>
        </is>
      </c>
      <c r="C141" s="4" t="inlineStr">
        <is>
          <t>PREP-AREA</t>
        </is>
      </c>
      <c r="D141" s="4" t="inlineStr"/>
      <c r="E141" s="4" t="inlineStr">
        <is>
          <t>Physically counted 2026-08-01</t>
        </is>
      </c>
      <c r="F141" s="4" t="inlineStr">
        <is>
          <t>2026-08-01</t>
        </is>
      </c>
      <c r="G141" s="5" t="n">
        <v>1.5</v>
      </c>
      <c r="H141" s="4" t="inlineStr">
        <is>
          <t>each</t>
        </is>
      </c>
      <c r="I141" s="5" t="n">
        <v>360</v>
      </c>
      <c r="J141" s="4" t="inlineStr">
        <is>
          <t>g</t>
        </is>
      </c>
      <c r="K141" s="6" t="n">
        <v>0.04725</v>
      </c>
      <c r="L141" s="6" t="n">
        <v>0.04725</v>
      </c>
      <c r="M141" s="7">
        <f>I141*K141</f>
        <v/>
      </c>
      <c r="N141" s="7">
        <f>I141*L141</f>
        <v/>
      </c>
      <c r="O141" s="7">
        <f>N141-M141</f>
        <v/>
      </c>
      <c r="P141" s="7" t="n">
        <v>47.25</v>
      </c>
      <c r="Q141" s="4" t="inlineStr">
        <is>
          <t>kg</t>
        </is>
      </c>
      <c r="R141" s="4" t="inlineStr">
        <is>
          <t>1 each → 240 each</t>
        </is>
      </c>
    </row>
    <row r="142">
      <c r="A142" s="4" t="inlineStr">
        <is>
          <t>Malic Acid</t>
        </is>
      </c>
      <c r="B142" s="4" t="inlineStr">
        <is>
          <t>DRY</t>
        </is>
      </c>
      <c r="C142" s="4" t="inlineStr">
        <is>
          <t>PREP-AREA</t>
        </is>
      </c>
      <c r="D142" s="4" t="inlineStr"/>
      <c r="E142" s="4" t="inlineStr">
        <is>
          <t>Physically counted 2026-08-01</t>
        </is>
      </c>
      <c r="F142" s="4" t="inlineStr">
        <is>
          <t>2026-08-01</t>
        </is>
      </c>
      <c r="G142" s="5" t="n">
        <v>150</v>
      </c>
      <c r="H142" s="4" t="inlineStr">
        <is>
          <t>g</t>
        </is>
      </c>
      <c r="I142" s="5" t="n">
        <v>150</v>
      </c>
      <c r="J142" s="4" t="inlineStr">
        <is>
          <t>g</t>
        </is>
      </c>
      <c r="K142" s="6" t="n">
        <v>0.02488986784140969</v>
      </c>
      <c r="L142" s="6" t="n">
        <v>0.02488986784140969</v>
      </c>
      <c r="M142" s="7">
        <f>I142*K142</f>
        <v/>
      </c>
      <c r="N142" s="7">
        <f>I142*L142</f>
        <v/>
      </c>
      <c r="O142" s="7">
        <f>N142-M142</f>
        <v/>
      </c>
      <c r="P142" s="7" t="n">
        <v>24.88986784140969</v>
      </c>
      <c r="Q142" s="4" t="inlineStr">
        <is>
          <t>kg</t>
        </is>
      </c>
      <c r="R142" s="4" t="inlineStr">
        <is>
          <t>1 each → 454 each</t>
        </is>
      </c>
    </row>
    <row r="143">
      <c r="A143" s="4" t="inlineStr">
        <is>
          <t>maltodextrin</t>
        </is>
      </c>
      <c r="B143" s="4" t="inlineStr">
        <is>
          <t>DRY</t>
        </is>
      </c>
      <c r="C143" s="4" t="inlineStr"/>
      <c r="D143" s="4" t="inlineStr"/>
      <c r="E143" s="4" t="inlineStr">
        <is>
          <t>Physically counted 2026-08-01</t>
        </is>
      </c>
      <c r="F143" s="4" t="inlineStr">
        <is>
          <t>2026-08-01</t>
        </is>
      </c>
      <c r="G143" s="5" t="n">
        <v>1</v>
      </c>
      <c r="H143" s="4" t="inlineStr">
        <is>
          <t>kg</t>
        </is>
      </c>
      <c r="I143" s="5" t="n">
        <v>1000</v>
      </c>
      <c r="J143" s="4" t="inlineStr">
        <is>
          <t>g</t>
        </is>
      </c>
      <c r="K143" s="6" t="n">
        <v>0.02985</v>
      </c>
      <c r="L143" s="6" t="n">
        <v>0.02985</v>
      </c>
      <c r="M143" s="7">
        <f>I143*K143</f>
        <v/>
      </c>
      <c r="N143" s="7">
        <f>I143*L143</f>
        <v/>
      </c>
      <c r="O143" s="7">
        <f>N143-M143</f>
        <v/>
      </c>
      <c r="P143" s="7" t="n">
        <v>29.85</v>
      </c>
      <c r="Q143" s="4" t="inlineStr">
        <is>
          <t>kg</t>
        </is>
      </c>
      <c r="R143" s="4" t="inlineStr">
        <is>
          <t>1 each → 1000 each</t>
        </is>
      </c>
    </row>
    <row r="144">
      <c r="A144" s="4" t="inlineStr">
        <is>
          <t>Maple Syrup</t>
        </is>
      </c>
      <c r="B144" s="4" t="inlineStr">
        <is>
          <t>DRY</t>
        </is>
      </c>
      <c r="C144" s="4" t="inlineStr">
        <is>
          <t>PREP-AREA</t>
        </is>
      </c>
      <c r="D144" s="4" t="inlineStr"/>
      <c r="E144" s="4" t="inlineStr">
        <is>
          <t>Physically counted 2026-08-01</t>
        </is>
      </c>
      <c r="F144" s="4" t="inlineStr">
        <is>
          <t>2026-08-01</t>
        </is>
      </c>
      <c r="G144" s="5" t="n">
        <v>0.8</v>
      </c>
      <c r="H144" s="4" t="inlineStr">
        <is>
          <t>each</t>
        </is>
      </c>
      <c r="I144" s="5" t="n">
        <v>20000</v>
      </c>
      <c r="J144" s="4" t="inlineStr">
        <is>
          <t>g</t>
        </is>
      </c>
      <c r="K144" s="6" t="n">
        <v>0.0121132</v>
      </c>
      <c r="L144" s="6" t="n">
        <v>0.0121132</v>
      </c>
      <c r="M144" s="7">
        <f>I144*K144</f>
        <v/>
      </c>
      <c r="N144" s="7">
        <f>I144*L144</f>
        <v/>
      </c>
      <c r="O144" s="7">
        <f>N144-M144</f>
        <v/>
      </c>
      <c r="P144" s="7" t="n">
        <v>12.1132</v>
      </c>
      <c r="Q144" s="4" t="inlineStr">
        <is>
          <t>kg</t>
        </is>
      </c>
      <c r="R144" s="4" t="inlineStr">
        <is>
          <t>1 each → 25000 each</t>
        </is>
      </c>
    </row>
    <row r="145">
      <c r="A145" s="4" t="inlineStr">
        <is>
          <t>Mexican Chili Powder</t>
        </is>
      </c>
      <c r="B145" s="4" t="inlineStr">
        <is>
          <t>DRY</t>
        </is>
      </c>
      <c r="C145" s="4" t="inlineStr"/>
      <c r="D145" s="4" t="inlineStr"/>
      <c r="E145" s="4" t="inlineStr">
        <is>
          <t>Physically counted 2026-08-01</t>
        </is>
      </c>
      <c r="F145" s="4" t="inlineStr">
        <is>
          <t>2026-08-01</t>
        </is>
      </c>
      <c r="G145" s="5" t="n">
        <v>2</v>
      </c>
      <c r="H145" s="4" t="inlineStr">
        <is>
          <t>kg</t>
        </is>
      </c>
      <c r="I145" s="5" t="n">
        <v>2000</v>
      </c>
      <c r="J145" s="4" t="inlineStr">
        <is>
          <t>g</t>
        </is>
      </c>
      <c r="K145" s="6" t="n">
        <v>0.01996</v>
      </c>
      <c r="L145" s="6" t="n">
        <v>0.01996</v>
      </c>
      <c r="M145" s="7">
        <f>I145*K145</f>
        <v/>
      </c>
      <c r="N145" s="7">
        <f>I145*L145</f>
        <v/>
      </c>
      <c r="O145" s="7">
        <f>N145-M145</f>
        <v/>
      </c>
      <c r="P145" s="7" t="n">
        <v>19.96</v>
      </c>
      <c r="Q145" s="4" t="inlineStr">
        <is>
          <t>kg</t>
        </is>
      </c>
      <c r="R145" s="4" t="inlineStr">
        <is>
          <t>1000 case</t>
        </is>
      </c>
    </row>
    <row r="146">
      <c r="A146" s="4" t="inlineStr">
        <is>
          <t>Milk Condensed</t>
        </is>
      </c>
      <c r="B146" s="4" t="inlineStr">
        <is>
          <t>DRY</t>
        </is>
      </c>
      <c r="C146" s="4" t="inlineStr"/>
      <c r="D146" s="4" t="inlineStr">
        <is>
          <t>Sysco</t>
        </is>
      </c>
      <c r="E146" s="4" t="inlineStr">
        <is>
          <t>Physically counted 2026-08-01</t>
        </is>
      </c>
      <c r="F146" s="4" t="inlineStr">
        <is>
          <t>2026-08-01</t>
        </is>
      </c>
      <c r="G146" s="5" t="n">
        <v>11</v>
      </c>
      <c r="H146" s="4" t="inlineStr">
        <is>
          <t>each</t>
        </is>
      </c>
      <c r="I146" s="5" t="n">
        <v>3300</v>
      </c>
      <c r="J146" s="4" t="inlineStr">
        <is>
          <t>ml</t>
        </is>
      </c>
      <c r="K146" s="6" t="n">
        <v>0.01842777777777778</v>
      </c>
      <c r="L146" s="6" t="n">
        <v>0.01842777777777778</v>
      </c>
      <c r="M146" s="7">
        <f>I146*K146</f>
        <v/>
      </c>
      <c r="N146" s="7">
        <f>I146*L146</f>
        <v/>
      </c>
      <c r="O146" s="7">
        <f>N146-M146</f>
        <v/>
      </c>
      <c r="P146" s="7" t="n">
        <v>18.42777777777778</v>
      </c>
      <c r="Q146" s="4" t="inlineStr">
        <is>
          <t>L</t>
        </is>
      </c>
      <c r="R146" s="4" t="inlineStr">
        <is>
          <t>24 case → 300 each</t>
        </is>
      </c>
    </row>
    <row r="147">
      <c r="A147" s="4" t="inlineStr">
        <is>
          <t>Millet</t>
        </is>
      </c>
      <c r="B147" s="4" t="inlineStr">
        <is>
          <t>DRY</t>
        </is>
      </c>
      <c r="C147" s="4" t="inlineStr">
        <is>
          <t>CATERING</t>
        </is>
      </c>
      <c r="D147" s="4" t="inlineStr"/>
      <c r="E147" s="4" t="inlineStr">
        <is>
          <t>Physically counted 2026-08-01</t>
        </is>
      </c>
      <c r="F147" s="4" t="inlineStr">
        <is>
          <t>2026-08-01</t>
        </is>
      </c>
      <c r="G147" s="5" t="n">
        <v>8.699999999999999</v>
      </c>
      <c r="H147" s="4" t="inlineStr">
        <is>
          <t>kg</t>
        </is>
      </c>
      <c r="I147" s="5" t="n">
        <v>8700</v>
      </c>
      <c r="J147" s="4" t="inlineStr">
        <is>
          <t>g</t>
        </is>
      </c>
      <c r="K147" s="6" t="n">
        <v>0.001704</v>
      </c>
      <c r="L147" s="6" t="n">
        <v>0.001704</v>
      </c>
      <c r="M147" s="7">
        <f>I147*K147</f>
        <v/>
      </c>
      <c r="N147" s="7">
        <f>I147*L147</f>
        <v/>
      </c>
      <c r="O147" s="7">
        <f>N147-M147</f>
        <v/>
      </c>
      <c r="P147" s="7" t="n">
        <v>1.704</v>
      </c>
      <c r="Q147" s="4" t="inlineStr">
        <is>
          <t>kg</t>
        </is>
      </c>
      <c r="R147" s="4" t="inlineStr">
        <is>
          <t>1 each → 25000 each</t>
        </is>
      </c>
    </row>
    <row r="148">
      <c r="A148" s="4" t="inlineStr">
        <is>
          <t>Mirin Seasoning</t>
        </is>
      </c>
      <c r="B148" s="4" t="inlineStr">
        <is>
          <t>DRY</t>
        </is>
      </c>
      <c r="C148" s="4" t="inlineStr">
        <is>
          <t>PREP-AREA</t>
        </is>
      </c>
      <c r="D148" s="4" t="inlineStr">
        <is>
          <t>Sysco</t>
        </is>
      </c>
      <c r="E148" s="4" t="inlineStr">
        <is>
          <t>Physically counted 2026-08-01</t>
        </is>
      </c>
      <c r="F148" s="4" t="inlineStr">
        <is>
          <t>2026-08-01</t>
        </is>
      </c>
      <c r="G148" s="5" t="n">
        <v>2</v>
      </c>
      <c r="H148" s="4" t="inlineStr">
        <is>
          <t>pack</t>
        </is>
      </c>
      <c r="I148" s="5" t="n">
        <v>2000</v>
      </c>
      <c r="J148" s="4" t="inlineStr">
        <is>
          <t>ml</t>
        </is>
      </c>
      <c r="K148" s="6" t="n">
        <v>0.00075</v>
      </c>
      <c r="L148" s="6" t="n">
        <v>0.008999999999999999</v>
      </c>
      <c r="M148" s="7">
        <f>I148*K148</f>
        <v/>
      </c>
      <c r="N148" s="7">
        <f>I148*L148</f>
        <v/>
      </c>
      <c r="O148" s="7">
        <f>N148-M148</f>
        <v/>
      </c>
      <c r="P148" s="7" t="n">
        <v>9</v>
      </c>
      <c r="Q148" s="4" t="inlineStr">
        <is>
          <t>L</t>
        </is>
      </c>
      <c r="R148" s="4" t="inlineStr">
        <is>
          <t>1000 pack</t>
        </is>
      </c>
    </row>
    <row r="149">
      <c r="A149" s="4" t="inlineStr">
        <is>
          <t>Miso</t>
        </is>
      </c>
      <c r="B149" s="4" t="inlineStr">
        <is>
          <t>DRY</t>
        </is>
      </c>
      <c r="C149" s="4" t="inlineStr">
        <is>
          <t>PREP-AREA</t>
        </is>
      </c>
      <c r="D149" s="4" t="inlineStr">
        <is>
          <t>Sysco</t>
        </is>
      </c>
      <c r="E149" s="4" t="inlineStr">
        <is>
          <t>Physically counted 2026-08-01</t>
        </is>
      </c>
      <c r="F149" s="4" t="inlineStr">
        <is>
          <t>2026-08-01</t>
        </is>
      </c>
      <c r="G149" s="5" t="n">
        <v>2</v>
      </c>
      <c r="H149" s="4" t="inlineStr">
        <is>
          <t>case</t>
        </is>
      </c>
      <c r="I149" s="5" t="n">
        <v>2000</v>
      </c>
      <c r="J149" s="4" t="inlineStr">
        <is>
          <t>g</t>
        </is>
      </c>
      <c r="K149" s="6" t="n">
        <v>0.01697</v>
      </c>
      <c r="L149" s="6" t="n">
        <v>0.01697</v>
      </c>
      <c r="M149" s="7">
        <f>I149*K149</f>
        <v/>
      </c>
      <c r="N149" s="7">
        <f>I149*L149</f>
        <v/>
      </c>
      <c r="O149" s="7">
        <f>N149-M149</f>
        <v/>
      </c>
      <c r="P149" s="7" t="n">
        <v>16.97</v>
      </c>
      <c r="Q149" s="4" t="inlineStr">
        <is>
          <t>kg</t>
        </is>
      </c>
      <c r="R149" s="4" t="inlineStr">
        <is>
          <t>1 case → 1000 each</t>
        </is>
      </c>
    </row>
    <row r="150">
      <c r="A150" s="4" t="inlineStr">
        <is>
          <t>Mixed mushrooms</t>
        </is>
      </c>
      <c r="B150" s="4" t="inlineStr">
        <is>
          <t>DRY</t>
        </is>
      </c>
      <c r="C150" s="4" t="inlineStr"/>
      <c r="D150" s="4" t="inlineStr">
        <is>
          <t>Sysco</t>
        </is>
      </c>
      <c r="E150" s="4" t="inlineStr">
        <is>
          <t>Physically counted 2026-08-01</t>
        </is>
      </c>
      <c r="F150" s="4" t="inlineStr">
        <is>
          <t>2026-08-01</t>
        </is>
      </c>
      <c r="G150" s="5" t="n">
        <v>0</v>
      </c>
      <c r="H150" s="4" t="inlineStr">
        <is>
          <t>g</t>
        </is>
      </c>
      <c r="I150" s="5" t="n">
        <v>0</v>
      </c>
      <c r="J150" s="4" t="inlineStr">
        <is>
          <t>g</t>
        </is>
      </c>
      <c r="K150" s="6" t="n">
        <v>0.01748267165205735</v>
      </c>
      <c r="L150" s="6" t="n">
        <v>0.01748267165205735</v>
      </c>
      <c r="M150" s="7">
        <f>I150*K150</f>
        <v/>
      </c>
      <c r="N150" s="7">
        <f>I150*L150</f>
        <v/>
      </c>
      <c r="O150" s="7">
        <f>N150-M150</f>
        <v/>
      </c>
      <c r="P150" s="7" t="n">
        <v>17.48267165205736</v>
      </c>
      <c r="Q150" s="4" t="inlineStr">
        <is>
          <t>kg</t>
        </is>
      </c>
      <c r="R150" s="4" t="inlineStr">
        <is>
          <t>1 case → 2267.96 each</t>
        </is>
      </c>
    </row>
    <row r="151">
      <c r="A151" s="4" t="inlineStr">
        <is>
          <t>Molasses</t>
        </is>
      </c>
      <c r="B151" s="4" t="inlineStr">
        <is>
          <t>DRY</t>
        </is>
      </c>
      <c r="C151" s="4" t="inlineStr">
        <is>
          <t>PREP-AREA</t>
        </is>
      </c>
      <c r="D151" s="4" t="inlineStr"/>
      <c r="E151" s="4" t="inlineStr">
        <is>
          <t>Physically counted 2026-08-01</t>
        </is>
      </c>
      <c r="F151" s="4" t="inlineStr">
        <is>
          <t>2026-08-01</t>
        </is>
      </c>
      <c r="G151" s="5" t="n">
        <v>24</v>
      </c>
      <c r="H151" s="4" t="inlineStr">
        <is>
          <t>kg</t>
        </is>
      </c>
      <c r="I151" s="5" t="n">
        <v>24000</v>
      </c>
      <c r="J151" s="4" t="inlineStr">
        <is>
          <t>g</t>
        </is>
      </c>
      <c r="K151" s="6" t="n">
        <v>0.0028976</v>
      </c>
      <c r="L151" s="6" t="n">
        <v>0.0028976</v>
      </c>
      <c r="M151" s="7">
        <f>I151*K151</f>
        <v/>
      </c>
      <c r="N151" s="7">
        <f>I151*L151</f>
        <v/>
      </c>
      <c r="O151" s="7">
        <f>N151-M151</f>
        <v/>
      </c>
      <c r="P151" s="7" t="n">
        <v>2.8976</v>
      </c>
      <c r="Q151" s="4" t="inlineStr">
        <is>
          <t>kg</t>
        </is>
      </c>
      <c r="R151" s="4" t="inlineStr">
        <is>
          <t>1 each → 25000 each</t>
        </is>
      </c>
    </row>
    <row r="152">
      <c r="A152" s="4" t="inlineStr">
        <is>
          <t>Mustard Dijon</t>
        </is>
      </c>
      <c r="B152" s="4" t="inlineStr">
        <is>
          <t>DRY</t>
        </is>
      </c>
      <c r="C152" s="4" t="inlineStr">
        <is>
          <t>PREP-AREA</t>
        </is>
      </c>
      <c r="D152" s="4" t="inlineStr">
        <is>
          <t>Sysco</t>
        </is>
      </c>
      <c r="E152" s="4" t="inlineStr">
        <is>
          <t>Physically counted 2026-08-01</t>
        </is>
      </c>
      <c r="F152" s="4" t="inlineStr">
        <is>
          <t>2026-08-01</t>
        </is>
      </c>
      <c r="G152" s="5" t="n">
        <v>0.4</v>
      </c>
      <c r="H152" s="4" t="inlineStr">
        <is>
          <t>case</t>
        </is>
      </c>
      <c r="I152" s="5" t="n">
        <v>4000</v>
      </c>
      <c r="J152" s="4" t="inlineStr">
        <is>
          <t>ml</t>
        </is>
      </c>
      <c r="K152" s="6" t="n">
        <v>0.004609</v>
      </c>
      <c r="L152" s="6" t="n">
        <v>0.007998999999999999</v>
      </c>
      <c r="M152" s="7">
        <f>I152*K152</f>
        <v/>
      </c>
      <c r="N152" s="7">
        <f>I152*L152</f>
        <v/>
      </c>
      <c r="O152" s="7">
        <f>N152-M152</f>
        <v/>
      </c>
      <c r="P152" s="7" t="n">
        <v>7.998999999999999</v>
      </c>
      <c r="Q152" s="4" t="inlineStr">
        <is>
          <t>L</t>
        </is>
      </c>
      <c r="R152" s="4" t="inlineStr">
        <is>
          <t>2 case → 5000 each</t>
        </is>
      </c>
    </row>
    <row r="153">
      <c r="A153" s="4" t="inlineStr">
        <is>
          <t>Mustard Seeds</t>
        </is>
      </c>
      <c r="B153" s="4" t="inlineStr">
        <is>
          <t>DRY</t>
        </is>
      </c>
      <c r="C153" s="4" t="inlineStr">
        <is>
          <t>PREP-AREA</t>
        </is>
      </c>
      <c r="D153" s="4" t="inlineStr"/>
      <c r="E153" s="4" t="inlineStr">
        <is>
          <t>Physically counted 2026-08-01</t>
        </is>
      </c>
      <c r="F153" s="4" t="inlineStr">
        <is>
          <t>2026-08-01</t>
        </is>
      </c>
      <c r="G153" s="5" t="n">
        <v>3.5</v>
      </c>
      <c r="H153" s="4" t="inlineStr">
        <is>
          <t>kg</t>
        </is>
      </c>
      <c r="I153" s="5" t="n">
        <v>3500</v>
      </c>
      <c r="J153" s="4" t="inlineStr">
        <is>
          <t>g</t>
        </is>
      </c>
      <c r="K153" s="6" t="n">
        <v>0.007857142857142858</v>
      </c>
      <c r="L153" s="6" t="n">
        <v>0.007857142857142858</v>
      </c>
      <c r="M153" s="7">
        <f>I153*K153</f>
        <v/>
      </c>
      <c r="N153" s="7">
        <f>I153*L153</f>
        <v/>
      </c>
      <c r="O153" s="7">
        <f>N153-M153</f>
        <v/>
      </c>
      <c r="P153" s="7" t="n">
        <v>7.857142857142858</v>
      </c>
      <c r="Q153" s="4" t="inlineStr">
        <is>
          <t>kg</t>
        </is>
      </c>
      <c r="R153" s="4" t="inlineStr">
        <is>
          <t>1 each → 3500 each</t>
        </is>
      </c>
    </row>
    <row r="154">
      <c r="A154" s="4" t="inlineStr">
        <is>
          <t>Mustard Seeds Ground</t>
        </is>
      </c>
      <c r="B154" s="4" t="inlineStr">
        <is>
          <t>DRY</t>
        </is>
      </c>
      <c r="C154" s="4" t="inlineStr">
        <is>
          <t>PREP-AREA</t>
        </is>
      </c>
      <c r="D154" s="4" t="inlineStr"/>
      <c r="E154" s="4" t="inlineStr">
        <is>
          <t>Physically counted 2026-08-01</t>
        </is>
      </c>
      <c r="F154" s="4" t="inlineStr">
        <is>
          <t>2026-08-01</t>
        </is>
      </c>
      <c r="G154" s="5" t="n">
        <v>1.3</v>
      </c>
      <c r="H154" s="4" t="inlineStr">
        <is>
          <t>kg</t>
        </is>
      </c>
      <c r="I154" s="5" t="n">
        <v>1300</v>
      </c>
      <c r="J154" s="4" t="inlineStr">
        <is>
          <t>g</t>
        </is>
      </c>
      <c r="K154" s="6" t="n">
        <v>0.0091</v>
      </c>
      <c r="L154" s="6" t="n">
        <v>0.0091</v>
      </c>
      <c r="M154" s="7">
        <f>I154*K154</f>
        <v/>
      </c>
      <c r="N154" s="7">
        <f>I154*L154</f>
        <v/>
      </c>
      <c r="O154" s="7">
        <f>N154-M154</f>
        <v/>
      </c>
      <c r="P154" s="7" t="n">
        <v>9.1</v>
      </c>
      <c r="Q154" s="4" t="inlineStr">
        <is>
          <t>kg</t>
        </is>
      </c>
      <c r="R154" s="4" t="inlineStr">
        <is>
          <t>1 each → 2500 each</t>
        </is>
      </c>
    </row>
    <row r="155">
      <c r="A155" s="4" t="inlineStr">
        <is>
          <t>NOODLE RICE STK VERMICELLI</t>
        </is>
      </c>
      <c r="B155" s="4" t="inlineStr">
        <is>
          <t>DRY</t>
        </is>
      </c>
      <c r="C155" s="4" t="inlineStr"/>
      <c r="D155" s="4" t="inlineStr">
        <is>
          <t>Sysco</t>
        </is>
      </c>
      <c r="E155" s="4" t="inlineStr">
        <is>
          <t>Physically counted 2026-08-01</t>
        </is>
      </c>
      <c r="F155" s="4" t="inlineStr">
        <is>
          <t>2026-08-01</t>
        </is>
      </c>
      <c r="G155" s="5" t="n">
        <v>0</v>
      </c>
      <c r="H155" s="4" t="inlineStr">
        <is>
          <t>each</t>
        </is>
      </c>
      <c r="I155" s="5" t="n">
        <v>0</v>
      </c>
      <c r="J155" s="4" t="inlineStr">
        <is>
          <t>g</t>
        </is>
      </c>
      <c r="K155" s="6" t="n">
        <v>0.007116666666666666</v>
      </c>
      <c r="L155" s="6" t="n">
        <v>0.007116666666666666</v>
      </c>
      <c r="M155" s="7">
        <f>I155*K155</f>
        <v/>
      </c>
      <c r="N155" s="7">
        <f>I155*L155</f>
        <v/>
      </c>
      <c r="O155" s="7">
        <f>N155-M155</f>
        <v/>
      </c>
      <c r="P155" s="7" t="n">
        <v>7.116666666666666</v>
      </c>
      <c r="Q155" s="4" t="inlineStr">
        <is>
          <t>kg</t>
        </is>
      </c>
      <c r="R155" s="4" t="inlineStr">
        <is>
          <t>12 CS → 400 each</t>
        </is>
      </c>
    </row>
    <row r="156">
      <c r="A156" s="4" t="inlineStr">
        <is>
          <t>NOODLE SOBA BUCKWHEAT</t>
        </is>
      </c>
      <c r="B156" s="4" t="inlineStr">
        <is>
          <t>DRY</t>
        </is>
      </c>
      <c r="C156" s="4" t="inlineStr">
        <is>
          <t>CATERING</t>
        </is>
      </c>
      <c r="D156" s="4" t="inlineStr">
        <is>
          <t>Sysco</t>
        </is>
      </c>
      <c r="E156" s="4" t="inlineStr">
        <is>
          <t>Physically counted 2026-08-01</t>
        </is>
      </c>
      <c r="F156" s="4" t="inlineStr">
        <is>
          <t>2026-08-01</t>
        </is>
      </c>
      <c r="G156" s="5" t="n">
        <v>0</v>
      </c>
      <c r="H156" s="4" t="inlineStr">
        <is>
          <t>each</t>
        </is>
      </c>
      <c r="I156" s="5" t="n">
        <v>0</v>
      </c>
      <c r="J156" s="4" t="inlineStr">
        <is>
          <t>g</t>
        </is>
      </c>
      <c r="K156" s="6" t="n">
        <v>0.007221153846153847</v>
      </c>
      <c r="L156" s="6" t="n">
        <v>0.007221153846153847</v>
      </c>
      <c r="M156" s="7">
        <f>I156*K156</f>
        <v/>
      </c>
      <c r="N156" s="7">
        <f>I156*L156</f>
        <v/>
      </c>
      <c r="O156" s="7">
        <f>N156-M156</f>
        <v/>
      </c>
      <c r="P156" s="7" t="n">
        <v>7.221153846153847</v>
      </c>
      <c r="Q156" s="4" t="inlineStr">
        <is>
          <t>kg</t>
        </is>
      </c>
      <c r="R156" s="4" t="inlineStr">
        <is>
          <t>12 case → 1300 each</t>
        </is>
      </c>
    </row>
    <row r="157">
      <c r="A157" s="4" t="inlineStr">
        <is>
          <t>Nori sheets</t>
        </is>
      </c>
      <c r="B157" s="4" t="inlineStr">
        <is>
          <t>DRY</t>
        </is>
      </c>
      <c r="C157" s="4" t="inlineStr"/>
      <c r="D157" s="4" t="inlineStr">
        <is>
          <t>Sysco</t>
        </is>
      </c>
      <c r="E157" s="4" t="inlineStr">
        <is>
          <t>Physically counted 2026-08-01</t>
        </is>
      </c>
      <c r="F157" s="4" t="inlineStr">
        <is>
          <t>2026-08-01</t>
        </is>
      </c>
      <c r="G157" s="5" t="n">
        <v>0</v>
      </c>
      <c r="H157" s="4" t="inlineStr">
        <is>
          <t>each</t>
        </is>
      </c>
      <c r="I157" s="5" t="n">
        <v>0</v>
      </c>
      <c r="J157" s="4" t="inlineStr">
        <is>
          <t>each</t>
        </is>
      </c>
      <c r="K157" s="6" t="n">
        <v>0.4477</v>
      </c>
      <c r="L157" s="6" t="n">
        <v>0.4477</v>
      </c>
      <c r="M157" s="7">
        <f>I157*K157</f>
        <v/>
      </c>
      <c r="N157" s="7">
        <f>I157*L157</f>
        <v/>
      </c>
      <c r="O157" s="7">
        <f>N157-M157</f>
        <v/>
      </c>
      <c r="P157" s="7" t="n">
        <v>0.4477</v>
      </c>
      <c r="Q157" s="4" t="inlineStr">
        <is>
          <t>each</t>
        </is>
      </c>
      <c r="R157" s="4" t="inlineStr">
        <is>
          <t>100 pack</t>
        </is>
      </c>
    </row>
    <row r="158">
      <c r="A158" s="4" t="inlineStr">
        <is>
          <t>Nutmeg</t>
        </is>
      </c>
      <c r="B158" s="4" t="inlineStr">
        <is>
          <t>DRY</t>
        </is>
      </c>
      <c r="C158" s="4" t="inlineStr">
        <is>
          <t>PREP-AREA</t>
        </is>
      </c>
      <c r="D158" s="4" t="inlineStr"/>
      <c r="E158" s="4" t="inlineStr">
        <is>
          <t>Physically counted 2026-08-01</t>
        </is>
      </c>
      <c r="F158" s="4" t="inlineStr">
        <is>
          <t>2026-08-01</t>
        </is>
      </c>
      <c r="G158" s="5" t="n">
        <v>0.3</v>
      </c>
      <c r="H158" s="4" t="inlineStr">
        <is>
          <t>kg</t>
        </is>
      </c>
      <c r="I158" s="5" t="n">
        <v>300</v>
      </c>
      <c r="J158" s="4" t="inlineStr">
        <is>
          <t>g</t>
        </is>
      </c>
      <c r="K158" s="6" t="n">
        <v>0.03277</v>
      </c>
      <c r="L158" s="6" t="n">
        <v>0.03277</v>
      </c>
      <c r="M158" s="7">
        <f>I158*K158</f>
        <v/>
      </c>
      <c r="N158" s="7">
        <f>I158*L158</f>
        <v/>
      </c>
      <c r="O158" s="7">
        <f>N158-M158</f>
        <v/>
      </c>
      <c r="P158" s="7" t="n">
        <v>32.77</v>
      </c>
      <c r="Q158" s="4" t="inlineStr">
        <is>
          <t>kg</t>
        </is>
      </c>
      <c r="R158" s="4" t="inlineStr">
        <is>
          <t>1 each → 1000 each</t>
        </is>
      </c>
    </row>
    <row r="159">
      <c r="A159" s="4" t="inlineStr">
        <is>
          <t>Nutritional Yeast</t>
        </is>
      </c>
      <c r="B159" s="4" t="inlineStr">
        <is>
          <t>DRY</t>
        </is>
      </c>
      <c r="C159" s="4" t="inlineStr">
        <is>
          <t>PREP-AREA</t>
        </is>
      </c>
      <c r="D159" s="4" t="inlineStr"/>
      <c r="E159" s="4" t="inlineStr">
        <is>
          <t>Physically counted 2026-08-01</t>
        </is>
      </c>
      <c r="F159" s="4" t="inlineStr">
        <is>
          <t>2026-08-01</t>
        </is>
      </c>
      <c r="G159" s="5" t="n">
        <v>3</v>
      </c>
      <c r="H159" s="4" t="inlineStr">
        <is>
          <t>kg</t>
        </is>
      </c>
      <c r="I159" s="5" t="n">
        <v>3000</v>
      </c>
      <c r="J159" s="4" t="inlineStr">
        <is>
          <t>g</t>
        </is>
      </c>
      <c r="K159" s="6" t="n">
        <v>0.02613656387665198</v>
      </c>
      <c r="L159" s="6" t="n">
        <v>0.02613656387665198</v>
      </c>
      <c r="M159" s="7">
        <f>I159*K159</f>
        <v/>
      </c>
      <c r="N159" s="7">
        <f>I159*L159</f>
        <v/>
      </c>
      <c r="O159" s="7">
        <f>N159-M159</f>
        <v/>
      </c>
      <c r="P159" s="7" t="n">
        <v>26.13656387665198</v>
      </c>
      <c r="Q159" s="4" t="inlineStr">
        <is>
          <t>kg</t>
        </is>
      </c>
      <c r="R159" s="4" t="inlineStr">
        <is>
          <t>1 each → 2270 each</t>
        </is>
      </c>
    </row>
    <row r="160">
      <c r="A160" s="4" t="inlineStr">
        <is>
          <t>Oats gf</t>
        </is>
      </c>
      <c r="B160" s="4" t="inlineStr">
        <is>
          <t>DRY</t>
        </is>
      </c>
      <c r="C160" s="4" t="inlineStr">
        <is>
          <t>PREP-AREA</t>
        </is>
      </c>
      <c r="D160" s="4" t="inlineStr"/>
      <c r="E160" s="4" t="inlineStr">
        <is>
          <t>Physically counted 2026-08-01</t>
        </is>
      </c>
      <c r="F160" s="4" t="inlineStr">
        <is>
          <t>2026-08-01</t>
        </is>
      </c>
      <c r="G160" s="5" t="n">
        <v>8.6</v>
      </c>
      <c r="H160" s="4" t="inlineStr">
        <is>
          <t>kg</t>
        </is>
      </c>
      <c r="I160" s="5" t="n">
        <v>8600</v>
      </c>
      <c r="J160" s="4" t="inlineStr">
        <is>
          <t>g</t>
        </is>
      </c>
      <c r="K160" s="6" t="n">
        <v>0.00320704845814978</v>
      </c>
      <c r="L160" s="6" t="n">
        <v>0.00320704845814978</v>
      </c>
      <c r="M160" s="7">
        <f>I160*K160</f>
        <v/>
      </c>
      <c r="N160" s="7">
        <f>I160*L160</f>
        <v/>
      </c>
      <c r="O160" s="7">
        <f>N160-M160</f>
        <v/>
      </c>
      <c r="P160" s="7" t="n">
        <v>3.207048458149779</v>
      </c>
      <c r="Q160" s="4" t="inlineStr">
        <is>
          <t>kg</t>
        </is>
      </c>
      <c r="R160" s="4" t="inlineStr">
        <is>
          <t>1 each → 22700 each</t>
        </is>
      </c>
    </row>
    <row r="161">
      <c r="A161" s="4" t="inlineStr">
        <is>
          <t>Oil Canola</t>
        </is>
      </c>
      <c r="B161" s="4" t="inlineStr">
        <is>
          <t>DRY</t>
        </is>
      </c>
      <c r="C161" s="4" t="inlineStr">
        <is>
          <t>PREP-AREA</t>
        </is>
      </c>
      <c r="D161" s="4" t="inlineStr">
        <is>
          <t>Sysco</t>
        </is>
      </c>
      <c r="E161" s="4" t="inlineStr">
        <is>
          <t>Physically counted 2026-08-01</t>
        </is>
      </c>
      <c r="F161" s="4" t="inlineStr">
        <is>
          <t>2026-08-01</t>
        </is>
      </c>
      <c r="G161" s="5" t="n">
        <v>6</v>
      </c>
      <c r="H161" s="4" t="inlineStr">
        <is>
          <t>each</t>
        </is>
      </c>
      <c r="I161" s="5" t="n">
        <v>18000</v>
      </c>
      <c r="J161" s="4" t="inlineStr">
        <is>
          <t>ml</t>
        </is>
      </c>
      <c r="K161" s="6" t="n">
        <v>0.005446666666666666</v>
      </c>
      <c r="L161" s="6" t="n">
        <v>0.005446666666666666</v>
      </c>
      <c r="M161" s="7">
        <f>I161*K161</f>
        <v/>
      </c>
      <c r="N161" s="7">
        <f>I161*L161</f>
        <v/>
      </c>
      <c r="O161" s="7">
        <f>N161-M161</f>
        <v/>
      </c>
      <c r="P161" s="7" t="n">
        <v>5.446666666666666</v>
      </c>
      <c r="Q161" s="4" t="inlineStr">
        <is>
          <t>L</t>
        </is>
      </c>
      <c r="R161" s="4" t="inlineStr">
        <is>
          <t>4 case → 3000 each</t>
        </is>
      </c>
    </row>
    <row r="162">
      <c r="A162" s="4" t="inlineStr">
        <is>
          <t>Oil Canola Fryer</t>
        </is>
      </c>
      <c r="B162" s="4" t="inlineStr">
        <is>
          <t>DRY</t>
        </is>
      </c>
      <c r="C162" s="4" t="inlineStr">
        <is>
          <t>PREP-AREA</t>
        </is>
      </c>
      <c r="D162" s="4" t="inlineStr"/>
      <c r="E162" s="4" t="inlineStr">
        <is>
          <t>Physically counted 2026-08-01</t>
        </is>
      </c>
      <c r="F162" s="4" t="inlineStr">
        <is>
          <t>2026-08-01</t>
        </is>
      </c>
      <c r="G162" s="5" t="n">
        <v>4</v>
      </c>
      <c r="H162" s="4" t="inlineStr">
        <is>
          <t>each</t>
        </is>
      </c>
      <c r="I162" s="5" t="n">
        <v>64000</v>
      </c>
      <c r="J162" s="4" t="inlineStr">
        <is>
          <t>ml</t>
        </is>
      </c>
      <c r="K162" s="6" t="n">
        <v>0.002835625</v>
      </c>
      <c r="L162" s="6" t="n">
        <v>0.002835625</v>
      </c>
      <c r="M162" s="7">
        <f>I162*K162</f>
        <v/>
      </c>
      <c r="N162" s="7">
        <f>I162*L162</f>
        <v/>
      </c>
      <c r="O162" s="7">
        <f>N162-M162</f>
        <v/>
      </c>
      <c r="P162" s="7" t="n">
        <v>2.835625</v>
      </c>
      <c r="Q162" s="4" t="inlineStr">
        <is>
          <t>L</t>
        </is>
      </c>
      <c r="R162" s="4" t="inlineStr">
        <is>
          <t>1 case → 16000 each</t>
        </is>
      </c>
    </row>
    <row r="163">
      <c r="A163" s="4" t="inlineStr">
        <is>
          <t>OIL GRAPESEED</t>
        </is>
      </c>
      <c r="B163" s="4" t="inlineStr">
        <is>
          <t>DRY</t>
        </is>
      </c>
      <c r="C163" s="4" t="inlineStr">
        <is>
          <t>PREP-AREA</t>
        </is>
      </c>
      <c r="D163" s="4" t="inlineStr">
        <is>
          <t>Sysco</t>
        </is>
      </c>
      <c r="E163" s="4" t="inlineStr">
        <is>
          <t>Physically counted 2026-08-01</t>
        </is>
      </c>
      <c r="F163" s="4" t="inlineStr">
        <is>
          <t>2026-08-01</t>
        </is>
      </c>
      <c r="G163" s="5" t="n">
        <v>1.5</v>
      </c>
      <c r="H163" s="4" t="inlineStr">
        <is>
          <t>each</t>
        </is>
      </c>
      <c r="I163" s="5" t="n">
        <v>4500</v>
      </c>
      <c r="J163" s="4" t="inlineStr">
        <is>
          <t>ml</t>
        </is>
      </c>
      <c r="K163" s="6" t="n">
        <v>0.0103</v>
      </c>
      <c r="L163" s="6" t="n">
        <v>0.0103</v>
      </c>
      <c r="M163" s="7">
        <f>I163*K163</f>
        <v/>
      </c>
      <c r="N163" s="7">
        <f>I163*L163</f>
        <v/>
      </c>
      <c r="O163" s="7">
        <f>N163-M163</f>
        <v/>
      </c>
      <c r="P163" s="7" t="n">
        <v>10.3</v>
      </c>
      <c r="Q163" s="4" t="inlineStr">
        <is>
          <t>L</t>
        </is>
      </c>
      <c r="R163" s="4" t="inlineStr">
        <is>
          <t>4 case → 3000 each</t>
        </is>
      </c>
    </row>
    <row r="164">
      <c r="A164" s="4" t="inlineStr">
        <is>
          <t>Olive Oil Extra</t>
        </is>
      </c>
      <c r="B164" s="4" t="inlineStr">
        <is>
          <t>DRY</t>
        </is>
      </c>
      <c r="C164" s="4" t="inlineStr">
        <is>
          <t>PREP-AREA</t>
        </is>
      </c>
      <c r="D164" s="4" t="inlineStr"/>
      <c r="E164" s="4" t="inlineStr">
        <is>
          <t>Physically counted 2026-08-01</t>
        </is>
      </c>
      <c r="F164" s="4" t="inlineStr">
        <is>
          <t>2026-08-01</t>
        </is>
      </c>
      <c r="G164" s="5" t="n">
        <v>5</v>
      </c>
      <c r="H164" s="4" t="inlineStr">
        <is>
          <t>each</t>
        </is>
      </c>
      <c r="I164" s="5" t="n">
        <v>15000</v>
      </c>
      <c r="J164" s="4" t="inlineStr">
        <is>
          <t>ml</t>
        </is>
      </c>
      <c r="K164" s="6" t="n">
        <v>0.01027777777777778</v>
      </c>
      <c r="L164" s="6" t="n">
        <v>0.01027777777777778</v>
      </c>
      <c r="M164" s="7">
        <f>I164*K164</f>
        <v/>
      </c>
      <c r="N164" s="7">
        <f>I164*L164</f>
        <v/>
      </c>
      <c r="O164" s="7">
        <f>N164-M164</f>
        <v/>
      </c>
      <c r="P164" s="7" t="n">
        <v>10.27777777777778</v>
      </c>
      <c r="Q164" s="4" t="inlineStr">
        <is>
          <t>L</t>
        </is>
      </c>
      <c r="R164" s="4" t="inlineStr">
        <is>
          <t>6 case → 3000 each</t>
        </is>
      </c>
    </row>
    <row r="165">
      <c r="A165" s="4" t="inlineStr">
        <is>
          <t>Olives Kalamata</t>
        </is>
      </c>
      <c r="B165" s="4" t="inlineStr">
        <is>
          <t>DRY</t>
        </is>
      </c>
      <c r="C165" s="4" t="inlineStr">
        <is>
          <t>PREP-AREA</t>
        </is>
      </c>
      <c r="D165" s="4" t="inlineStr">
        <is>
          <t>Sysco</t>
        </is>
      </c>
      <c r="E165" s="4" t="inlineStr">
        <is>
          <t>Physically counted 2026-08-01</t>
        </is>
      </c>
      <c r="F165" s="4" t="inlineStr">
        <is>
          <t>2026-08-01</t>
        </is>
      </c>
      <c r="G165" s="5" t="n">
        <v>0</v>
      </c>
      <c r="H165" s="4" t="inlineStr">
        <is>
          <t>each</t>
        </is>
      </c>
      <c r="I165" s="5" t="n">
        <v>0</v>
      </c>
      <c r="J165" s="4" t="inlineStr">
        <is>
          <t>g</t>
        </is>
      </c>
      <c r="K165" s="6" t="n">
        <v>0.015878</v>
      </c>
      <c r="L165" s="6" t="n">
        <v>0.015878</v>
      </c>
      <c r="M165" s="7">
        <f>I165*K165</f>
        <v/>
      </c>
      <c r="N165" s="7">
        <f>I165*L165</f>
        <v/>
      </c>
      <c r="O165" s="7">
        <f>N165-M165</f>
        <v/>
      </c>
      <c r="P165" s="7" t="n">
        <v>15.878</v>
      </c>
      <c r="Q165" s="4" t="inlineStr">
        <is>
          <t>kg</t>
        </is>
      </c>
      <c r="R165" s="4" t="inlineStr">
        <is>
          <t>10 case → 1000 each</t>
        </is>
      </c>
    </row>
    <row r="166">
      <c r="A166" s="4" t="inlineStr">
        <is>
          <t>Olives Mixed Mediterranean</t>
        </is>
      </c>
      <c r="B166" s="4" t="inlineStr">
        <is>
          <t>DRY</t>
        </is>
      </c>
      <c r="C166" s="4" t="inlineStr">
        <is>
          <t>PREP-AREA</t>
        </is>
      </c>
      <c r="D166" s="4" t="inlineStr">
        <is>
          <t>Sysco</t>
        </is>
      </c>
      <c r="E166" s="4" t="inlineStr">
        <is>
          <t>Physically counted 2026-08-01</t>
        </is>
      </c>
      <c r="F166" s="4" t="inlineStr">
        <is>
          <t>2026-08-01</t>
        </is>
      </c>
      <c r="G166" s="5" t="n">
        <v>0</v>
      </c>
      <c r="H166" s="4" t="inlineStr">
        <is>
          <t>each</t>
        </is>
      </c>
      <c r="I166" s="5" t="n">
        <v>0</v>
      </c>
      <c r="J166" s="4" t="inlineStr">
        <is>
          <t>g</t>
        </is>
      </c>
      <c r="K166" s="6" t="n">
        <v>0.02134</v>
      </c>
      <c r="L166" s="6" t="n">
        <v>0.02134</v>
      </c>
      <c r="M166" s="7">
        <f>I166*K166</f>
        <v/>
      </c>
      <c r="N166" s="7">
        <f>I166*L166</f>
        <v/>
      </c>
      <c r="O166" s="7">
        <f>N166-M166</f>
        <v/>
      </c>
      <c r="P166" s="7" t="n">
        <v>21.34</v>
      </c>
      <c r="Q166" s="4" t="inlineStr">
        <is>
          <t>kg</t>
        </is>
      </c>
      <c r="R166" s="4" t="inlineStr">
        <is>
          <t>2 case → 3000 each</t>
        </is>
      </c>
    </row>
    <row r="167">
      <c r="A167" s="4" t="inlineStr">
        <is>
          <t>Onion Powder</t>
        </is>
      </c>
      <c r="B167" s="4" t="inlineStr">
        <is>
          <t>DRY</t>
        </is>
      </c>
      <c r="C167" s="4" t="inlineStr">
        <is>
          <t>PREP-AREA</t>
        </is>
      </c>
      <c r="D167" s="4" t="inlineStr"/>
      <c r="E167" s="4" t="inlineStr">
        <is>
          <t>Physically counted 2026-08-01</t>
        </is>
      </c>
      <c r="F167" s="4" t="inlineStr">
        <is>
          <t>2026-08-01</t>
        </is>
      </c>
      <c r="G167" s="5" t="n">
        <v>1.9</v>
      </c>
      <c r="H167" s="4" t="inlineStr">
        <is>
          <t>kg</t>
        </is>
      </c>
      <c r="I167" s="5" t="n">
        <v>1900</v>
      </c>
      <c r="J167" s="4" t="inlineStr">
        <is>
          <t>g</t>
        </is>
      </c>
      <c r="K167" s="6" t="n">
        <v>0.01424666666666667</v>
      </c>
      <c r="L167" s="6" t="n">
        <v>0.01424666666666667</v>
      </c>
      <c r="M167" s="7">
        <f>I167*K167</f>
        <v/>
      </c>
      <c r="N167" s="7">
        <f>I167*L167</f>
        <v/>
      </c>
      <c r="O167" s="7">
        <f>N167-M167</f>
        <v/>
      </c>
      <c r="P167" s="7" t="n">
        <v>14.24666666666667</v>
      </c>
      <c r="Q167" s="4" t="inlineStr">
        <is>
          <t>kg</t>
        </is>
      </c>
      <c r="R167" s="4" t="inlineStr">
        <is>
          <t>1 each → 3000 each</t>
        </is>
      </c>
    </row>
    <row r="168">
      <c r="A168" s="4" t="inlineStr">
        <is>
          <t>Oregano Dry</t>
        </is>
      </c>
      <c r="B168" s="4" t="inlineStr">
        <is>
          <t>DRY</t>
        </is>
      </c>
      <c r="C168" s="4" t="inlineStr"/>
      <c r="D168" s="4" t="inlineStr"/>
      <c r="E168" s="4" t="inlineStr">
        <is>
          <t>Physically counted 2026-08-01</t>
        </is>
      </c>
      <c r="F168" s="4" t="inlineStr">
        <is>
          <t>2026-08-01</t>
        </is>
      </c>
      <c r="G168" s="5" t="n">
        <v>1.2</v>
      </c>
      <c r="H168" s="4" t="inlineStr">
        <is>
          <t>kg</t>
        </is>
      </c>
      <c r="I168" s="5" t="n">
        <v>1200</v>
      </c>
      <c r="J168" s="4" t="inlineStr">
        <is>
          <t>g</t>
        </is>
      </c>
      <c r="K168" s="6" t="n">
        <v>0.02731</v>
      </c>
      <c r="L168" s="6" t="n">
        <v>0.02731</v>
      </c>
      <c r="M168" s="7">
        <f>I168*K168</f>
        <v/>
      </c>
      <c r="N168" s="7">
        <f>I168*L168</f>
        <v/>
      </c>
      <c r="O168" s="7">
        <f>N168-M168</f>
        <v/>
      </c>
      <c r="P168" s="7" t="n">
        <v>27.31</v>
      </c>
      <c r="Q168" s="4" t="inlineStr">
        <is>
          <t>kg</t>
        </is>
      </c>
      <c r="R168" s="4" t="inlineStr">
        <is>
          <t>1 each → 1000 each</t>
        </is>
      </c>
    </row>
    <row r="169">
      <c r="A169" s="4" t="inlineStr">
        <is>
          <t>pan spray oil</t>
        </is>
      </c>
      <c r="B169" s="4" t="inlineStr">
        <is>
          <t>DRY</t>
        </is>
      </c>
      <c r="C169" s="4" t="inlineStr"/>
      <c r="D169" s="4" t="inlineStr"/>
      <c r="E169" s="4" t="inlineStr">
        <is>
          <t>Physically counted 2026-08-01</t>
        </is>
      </c>
      <c r="F169" s="4" t="inlineStr">
        <is>
          <t>2026-08-01</t>
        </is>
      </c>
      <c r="G169" s="5" t="n">
        <v>1</v>
      </c>
      <c r="H169" s="4" t="inlineStr">
        <is>
          <t>each</t>
        </is>
      </c>
      <c r="I169" s="5" t="n">
        <v>502</v>
      </c>
      <c r="J169" s="4" t="inlineStr">
        <is>
          <t>g</t>
        </is>
      </c>
      <c r="K169" s="6" t="n">
        <v>0.02929282868525896</v>
      </c>
      <c r="L169" s="6" t="n">
        <v>0.02929282868525896</v>
      </c>
      <c r="M169" s="7">
        <f>I169*K169</f>
        <v/>
      </c>
      <c r="N169" s="7">
        <f>I169*L169</f>
        <v/>
      </c>
      <c r="O169" s="7">
        <f>N169-M169</f>
        <v/>
      </c>
      <c r="P169" s="7" t="n">
        <v>29.29282868525896</v>
      </c>
      <c r="Q169" s="4" t="inlineStr">
        <is>
          <t>kg</t>
        </is>
      </c>
      <c r="R169" s="4" t="inlineStr">
        <is>
          <t>6 case → 502 each</t>
        </is>
      </c>
    </row>
    <row r="170">
      <c r="A170" s="4" t="inlineStr">
        <is>
          <t>Paprika smoked</t>
        </is>
      </c>
      <c r="B170" s="4" t="inlineStr">
        <is>
          <t>DRY</t>
        </is>
      </c>
      <c r="C170" s="4" t="inlineStr">
        <is>
          <t>PREP-AREA</t>
        </is>
      </c>
      <c r="D170" s="4" t="inlineStr">
        <is>
          <t>Sysco</t>
        </is>
      </c>
      <c r="E170" s="4" t="inlineStr">
        <is>
          <t>Physically counted 2026-08-01</t>
        </is>
      </c>
      <c r="F170" s="4" t="inlineStr">
        <is>
          <t>2026-08-01</t>
        </is>
      </c>
      <c r="G170" s="5" t="n">
        <v>5</v>
      </c>
      <c r="H170" s="4" t="inlineStr">
        <is>
          <t>kg</t>
        </is>
      </c>
      <c r="I170" s="5" t="n">
        <v>5000</v>
      </c>
      <c r="J170" s="4" t="inlineStr">
        <is>
          <t>g</t>
        </is>
      </c>
      <c r="K170" s="6" t="n">
        <v>0.02113</v>
      </c>
      <c r="L170" s="6" t="n">
        <v>0.02113</v>
      </c>
      <c r="M170" s="7">
        <f>I170*K170</f>
        <v/>
      </c>
      <c r="N170" s="7">
        <f>I170*L170</f>
        <v/>
      </c>
      <c r="O170" s="7">
        <f>N170-M170</f>
        <v/>
      </c>
      <c r="P170" s="7" t="n">
        <v>21.13</v>
      </c>
      <c r="Q170" s="4" t="inlineStr">
        <is>
          <t>kg</t>
        </is>
      </c>
      <c r="R170" s="4" t="inlineStr">
        <is>
          <t>1000 case</t>
        </is>
      </c>
    </row>
    <row r="171">
      <c r="A171" s="4" t="inlineStr">
        <is>
          <t>Pecans</t>
        </is>
      </c>
      <c r="B171" s="4" t="inlineStr">
        <is>
          <t>DRY</t>
        </is>
      </c>
      <c r="C171" s="4" t="inlineStr">
        <is>
          <t>PREP-AREA</t>
        </is>
      </c>
      <c r="D171" s="4" t="inlineStr"/>
      <c r="E171" s="4" t="inlineStr">
        <is>
          <t>Physically counted 2026-08-01</t>
        </is>
      </c>
      <c r="F171" s="4" t="inlineStr">
        <is>
          <t>2026-08-01</t>
        </is>
      </c>
      <c r="G171" s="5" t="n">
        <v>1.7</v>
      </c>
      <c r="H171" s="4" t="inlineStr">
        <is>
          <t>kg</t>
        </is>
      </c>
      <c r="I171" s="5" t="n">
        <v>1700</v>
      </c>
      <c r="J171" s="4" t="inlineStr">
        <is>
          <t>g</t>
        </is>
      </c>
      <c r="K171" s="6" t="n">
        <v>0.027638</v>
      </c>
      <c r="L171" s="6" t="n">
        <v>0.027638</v>
      </c>
      <c r="M171" s="7">
        <f>I171*K171</f>
        <v/>
      </c>
      <c r="N171" s="7">
        <f>I171*L171</f>
        <v/>
      </c>
      <c r="O171" s="7">
        <f>N171-M171</f>
        <v/>
      </c>
      <c r="P171" s="7" t="n">
        <v>27.638</v>
      </c>
      <c r="Q171" s="4" t="inlineStr">
        <is>
          <t>kg</t>
        </is>
      </c>
      <c r="R171" s="4" t="inlineStr">
        <is>
          <t>1 each → 5000 each</t>
        </is>
      </c>
    </row>
    <row r="172">
      <c r="A172" s="4" t="inlineStr">
        <is>
          <t>Pepper Cayenne</t>
        </is>
      </c>
      <c r="B172" s="4" t="inlineStr">
        <is>
          <t>DRY</t>
        </is>
      </c>
      <c r="C172" s="4" t="inlineStr"/>
      <c r="D172" s="4" t="inlineStr"/>
      <c r="E172" s="4" t="inlineStr">
        <is>
          <t>Physically counted 2026-08-01</t>
        </is>
      </c>
      <c r="F172" s="4" t="inlineStr">
        <is>
          <t>2026-08-01</t>
        </is>
      </c>
      <c r="G172" s="5" t="n">
        <v>1.1</v>
      </c>
      <c r="H172" s="4" t="inlineStr">
        <is>
          <t>kg</t>
        </is>
      </c>
      <c r="I172" s="5" t="n">
        <v>1100</v>
      </c>
      <c r="J172" s="4" t="inlineStr">
        <is>
          <t>g</t>
        </is>
      </c>
      <c r="K172" s="6" t="n">
        <v>0.01687</v>
      </c>
      <c r="L172" s="6" t="n">
        <v>0.01687</v>
      </c>
      <c r="M172" s="7">
        <f>I172*K172</f>
        <v/>
      </c>
      <c r="N172" s="7">
        <f>I172*L172</f>
        <v/>
      </c>
      <c r="O172" s="7">
        <f>N172-M172</f>
        <v/>
      </c>
      <c r="P172" s="7" t="n">
        <v>16.87</v>
      </c>
      <c r="Q172" s="4" t="inlineStr">
        <is>
          <t>kg</t>
        </is>
      </c>
      <c r="R172" s="4" t="inlineStr">
        <is>
          <t>1 each → 1000 each</t>
        </is>
      </c>
    </row>
    <row r="173">
      <c r="A173" s="4" t="inlineStr">
        <is>
          <t>Pepper Ground White</t>
        </is>
      </c>
      <c r="B173" s="4" t="inlineStr">
        <is>
          <t>DRY</t>
        </is>
      </c>
      <c r="C173" s="4" t="inlineStr"/>
      <c r="D173" s="4" t="inlineStr"/>
      <c r="E173" s="4" t="inlineStr">
        <is>
          <t>Physically counted 2026-08-01</t>
        </is>
      </c>
      <c r="F173" s="4" t="inlineStr">
        <is>
          <t>2026-08-01</t>
        </is>
      </c>
      <c r="G173" s="5" t="n">
        <v>1.67</v>
      </c>
      <c r="H173" s="4" t="inlineStr">
        <is>
          <t>kg</t>
        </is>
      </c>
      <c r="I173" s="5" t="n">
        <v>1670</v>
      </c>
      <c r="J173" s="4" t="inlineStr">
        <is>
          <t>g</t>
        </is>
      </c>
      <c r="K173" s="6" t="n">
        <v>0.030316</v>
      </c>
      <c r="L173" s="6" t="n">
        <v>0.030316</v>
      </c>
      <c r="M173" s="7">
        <f>I173*K173</f>
        <v/>
      </c>
      <c r="N173" s="7">
        <f>I173*L173</f>
        <v/>
      </c>
      <c r="O173" s="7">
        <f>N173-M173</f>
        <v/>
      </c>
      <c r="P173" s="7" t="n">
        <v>30.316</v>
      </c>
      <c r="Q173" s="4" t="inlineStr">
        <is>
          <t>kg</t>
        </is>
      </c>
      <c r="R173" s="4" t="inlineStr">
        <is>
          <t>1 each → 2500 each</t>
        </is>
      </c>
    </row>
    <row r="174">
      <c r="A174" s="4" t="inlineStr">
        <is>
          <t>Pine Nuts</t>
        </is>
      </c>
      <c r="B174" s="4" t="inlineStr">
        <is>
          <t>DRY</t>
        </is>
      </c>
      <c r="C174" s="4" t="inlineStr">
        <is>
          <t>FREEZER</t>
        </is>
      </c>
      <c r="D174" s="4" t="inlineStr">
        <is>
          <t>Sysco</t>
        </is>
      </c>
      <c r="E174" s="4" t="inlineStr">
        <is>
          <t>Physically counted 2026-08-01</t>
        </is>
      </c>
      <c r="F174" s="4" t="inlineStr">
        <is>
          <t>2026-08-01</t>
        </is>
      </c>
      <c r="G174" s="5" t="n">
        <v>1.5</v>
      </c>
      <c r="H174" s="4" t="inlineStr">
        <is>
          <t>kg</t>
        </is>
      </c>
      <c r="I174" s="5" t="n">
        <v>1500</v>
      </c>
      <c r="J174" s="4" t="inlineStr">
        <is>
          <t>g</t>
        </is>
      </c>
      <c r="K174" s="6" t="n">
        <v>0.07870666666666667</v>
      </c>
      <c r="L174" s="6" t="n">
        <v>0.07870666666666667</v>
      </c>
      <c r="M174" s="7">
        <f>I174*K174</f>
        <v/>
      </c>
      <c r="N174" s="7">
        <f>I174*L174</f>
        <v/>
      </c>
      <c r="O174" s="7">
        <f>N174-M174</f>
        <v/>
      </c>
      <c r="P174" s="7" t="n">
        <v>78.70666666666668</v>
      </c>
      <c r="Q174" s="4" t="inlineStr">
        <is>
          <t>kg</t>
        </is>
      </c>
      <c r="R174" s="4" t="inlineStr">
        <is>
          <t>2 case → 1500 each</t>
        </is>
      </c>
    </row>
    <row r="175">
      <c r="A175" s="4" t="inlineStr">
        <is>
          <t>Pink Peppercorn</t>
        </is>
      </c>
      <c r="B175" s="4" t="inlineStr">
        <is>
          <t>DRY</t>
        </is>
      </c>
      <c r="C175" s="4" t="inlineStr"/>
      <c r="D175" s="4" t="inlineStr"/>
      <c r="E175" s="4" t="inlineStr">
        <is>
          <t>Physically counted 2026-08-01</t>
        </is>
      </c>
      <c r="F175" s="4" t="inlineStr">
        <is>
          <t>2026-08-01</t>
        </is>
      </c>
      <c r="G175" s="5" t="n">
        <v>0.37</v>
      </c>
      <c r="H175" s="4" t="inlineStr">
        <is>
          <t>kg</t>
        </is>
      </c>
      <c r="I175" s="5" t="n">
        <v>370</v>
      </c>
      <c r="J175" s="4" t="inlineStr">
        <is>
          <t>g</t>
        </is>
      </c>
      <c r="K175" s="6" t="n">
        <v>0.112</v>
      </c>
      <c r="L175" s="6" t="n">
        <v>0.112</v>
      </c>
      <c r="M175" s="7">
        <f>I175*K175</f>
        <v/>
      </c>
      <c r="N175" s="7">
        <f>I175*L175</f>
        <v/>
      </c>
      <c r="O175" s="7">
        <f>N175-M175</f>
        <v/>
      </c>
      <c r="P175" s="7" t="n">
        <v>112</v>
      </c>
      <c r="Q175" s="4" t="inlineStr">
        <is>
          <t>kg</t>
        </is>
      </c>
      <c r="R175" s="4" t="inlineStr">
        <is>
          <t>1 each → 225 each</t>
        </is>
      </c>
    </row>
    <row r="176">
      <c r="A176" s="4" t="inlineStr">
        <is>
          <t>Pitted Dates</t>
        </is>
      </c>
      <c r="B176" s="4" t="inlineStr">
        <is>
          <t>DRY</t>
        </is>
      </c>
      <c r="C176" s="4" t="inlineStr">
        <is>
          <t>SATELITE</t>
        </is>
      </c>
      <c r="D176" s="4" t="inlineStr"/>
      <c r="E176" s="4" t="inlineStr">
        <is>
          <t>Physically counted 2026-08-01</t>
        </is>
      </c>
      <c r="F176" s="4" t="inlineStr">
        <is>
          <t>2026-08-01</t>
        </is>
      </c>
      <c r="G176" s="5" t="n">
        <v>0</v>
      </c>
      <c r="H176" s="4" t="inlineStr">
        <is>
          <t>kg</t>
        </is>
      </c>
      <c r="I176" s="5" t="n">
        <v>0</v>
      </c>
      <c r="J176" s="4" t="inlineStr">
        <is>
          <t>g</t>
        </is>
      </c>
      <c r="K176" s="6" t="n">
        <v>0.0038432</v>
      </c>
      <c r="L176" s="6" t="n">
        <v>0.0038432</v>
      </c>
      <c r="M176" s="7">
        <f>I176*K176</f>
        <v/>
      </c>
      <c r="N176" s="7">
        <f>I176*L176</f>
        <v/>
      </c>
      <c r="O176" s="7">
        <f>N176-M176</f>
        <v/>
      </c>
      <c r="P176" s="7" t="n">
        <v>3.8432</v>
      </c>
      <c r="Q176" s="4" t="inlineStr">
        <is>
          <t>kg</t>
        </is>
      </c>
      <c r="R176" s="4" t="inlineStr">
        <is>
          <t>1 each → 12500 each</t>
        </is>
      </c>
    </row>
    <row r="177">
      <c r="A177" s="4" t="inlineStr">
        <is>
          <t>poppy seed</t>
        </is>
      </c>
      <c r="B177" s="4" t="inlineStr">
        <is>
          <t>DRY</t>
        </is>
      </c>
      <c r="C177" s="4" t="inlineStr">
        <is>
          <t>CATERING</t>
        </is>
      </c>
      <c r="D177" s="4" t="inlineStr"/>
      <c r="E177" s="4" t="inlineStr">
        <is>
          <t>Physically counted 2026-08-01</t>
        </is>
      </c>
      <c r="F177" s="4" t="inlineStr">
        <is>
          <t>2026-08-01</t>
        </is>
      </c>
      <c r="G177" s="5" t="n">
        <v>0.4</v>
      </c>
      <c r="H177" s="4" t="inlineStr">
        <is>
          <t>kg</t>
        </is>
      </c>
      <c r="I177" s="5" t="n">
        <v>400</v>
      </c>
      <c r="J177" s="4" t="inlineStr">
        <is>
          <t>g</t>
        </is>
      </c>
      <c r="K177" s="6" t="n">
        <v>0.03475</v>
      </c>
      <c r="L177" s="6" t="n">
        <v>0.03475</v>
      </c>
      <c r="M177" s="7">
        <f>I177*K177</f>
        <v/>
      </c>
      <c r="N177" s="7">
        <f>I177*L177</f>
        <v/>
      </c>
      <c r="O177" s="7">
        <f>N177-M177</f>
        <v/>
      </c>
      <c r="P177" s="7" t="n">
        <v>34.74999999999999</v>
      </c>
      <c r="Q177" s="4" t="inlineStr">
        <is>
          <t>kg</t>
        </is>
      </c>
      <c r="R177" s="4" t="inlineStr">
        <is>
          <t>1 each → 640 each</t>
        </is>
      </c>
    </row>
    <row r="178">
      <c r="A178" s="4" t="inlineStr">
        <is>
          <t>Potato Starch</t>
        </is>
      </c>
      <c r="B178" s="4" t="inlineStr">
        <is>
          <t>DRY</t>
        </is>
      </c>
      <c r="C178" s="4" t="inlineStr">
        <is>
          <t>PREP-AREA</t>
        </is>
      </c>
      <c r="D178" s="4" t="inlineStr"/>
      <c r="E178" s="4" t="inlineStr">
        <is>
          <t>Physically counted 2026-08-01</t>
        </is>
      </c>
      <c r="F178" s="4" t="inlineStr">
        <is>
          <t>2026-08-01</t>
        </is>
      </c>
      <c r="G178" s="5" t="n">
        <v>16.5</v>
      </c>
      <c r="H178" s="4" t="inlineStr">
        <is>
          <t>kg</t>
        </is>
      </c>
      <c r="I178" s="5" t="n">
        <v>16500</v>
      </c>
      <c r="J178" s="4" t="inlineStr">
        <is>
          <t>g</t>
        </is>
      </c>
      <c r="K178" s="6" t="n">
        <v>0.004294</v>
      </c>
      <c r="L178" s="6" t="n">
        <v>0.004294</v>
      </c>
      <c r="M178" s="7">
        <f>I178*K178</f>
        <v/>
      </c>
      <c r="N178" s="7">
        <f>I178*L178</f>
        <v/>
      </c>
      <c r="O178" s="7">
        <f>N178-M178</f>
        <v/>
      </c>
      <c r="P178" s="7" t="n">
        <v>4.294</v>
      </c>
      <c r="Q178" s="4" t="inlineStr">
        <is>
          <t>kg</t>
        </is>
      </c>
      <c r="R178" s="4" t="inlineStr">
        <is>
          <t>1 each → 5000 each</t>
        </is>
      </c>
    </row>
    <row r="179">
      <c r="A179" s="4" t="inlineStr">
        <is>
          <t>Pumpkin Seeds</t>
        </is>
      </c>
      <c r="B179" s="4" t="inlineStr">
        <is>
          <t>DRY</t>
        </is>
      </c>
      <c r="C179" s="4" t="inlineStr"/>
      <c r="D179" s="4" t="inlineStr"/>
      <c r="E179" s="4" t="inlineStr">
        <is>
          <t>Physically counted 2026-08-01</t>
        </is>
      </c>
      <c r="F179" s="4" t="inlineStr">
        <is>
          <t>2026-08-01</t>
        </is>
      </c>
      <c r="G179" s="5" t="n">
        <v>2</v>
      </c>
      <c r="H179" s="4" t="inlineStr">
        <is>
          <t>each</t>
        </is>
      </c>
      <c r="I179" s="5" t="n">
        <v>10000</v>
      </c>
      <c r="J179" s="4" t="inlineStr">
        <is>
          <t>g</t>
        </is>
      </c>
      <c r="K179" s="6" t="n">
        <v>0.008568000000000001</v>
      </c>
      <c r="L179" s="6" t="n">
        <v>0.008568000000000001</v>
      </c>
      <c r="M179" s="7">
        <f>I179*K179</f>
        <v/>
      </c>
      <c r="N179" s="7">
        <f>I179*L179</f>
        <v/>
      </c>
      <c r="O179" s="7">
        <f>N179-M179</f>
        <v/>
      </c>
      <c r="P179" s="7" t="n">
        <v>8.568000000000001</v>
      </c>
      <c r="Q179" s="4" t="inlineStr">
        <is>
          <t>kg</t>
        </is>
      </c>
      <c r="R179" s="4" t="inlineStr">
        <is>
          <t>1 each → 5000 each</t>
        </is>
      </c>
    </row>
    <row r="180">
      <c r="A180" s="4" t="inlineStr">
        <is>
          <t>Quinoa Tricolor</t>
        </is>
      </c>
      <c r="B180" s="4" t="inlineStr">
        <is>
          <t>DRY</t>
        </is>
      </c>
      <c r="C180" s="4" t="inlineStr">
        <is>
          <t>PREP-AREA</t>
        </is>
      </c>
      <c r="D180" s="4" t="inlineStr"/>
      <c r="E180" s="4" t="inlineStr">
        <is>
          <t>Physically counted 2026-08-01</t>
        </is>
      </c>
      <c r="F180" s="4" t="inlineStr">
        <is>
          <t>2026-08-01</t>
        </is>
      </c>
      <c r="G180" s="5" t="n">
        <v>2.7</v>
      </c>
      <c r="H180" s="4" t="inlineStr">
        <is>
          <t>kg</t>
        </is>
      </c>
      <c r="I180" s="5" t="n">
        <v>2700</v>
      </c>
      <c r="J180" s="4" t="inlineStr">
        <is>
          <t>g</t>
        </is>
      </c>
      <c r="K180" s="6" t="n">
        <v>0.009504</v>
      </c>
      <c r="L180" s="6" t="n">
        <v>0.009504</v>
      </c>
      <c r="M180" s="7">
        <f>I180*K180</f>
        <v/>
      </c>
      <c r="N180" s="7">
        <f>I180*L180</f>
        <v/>
      </c>
      <c r="O180" s="7">
        <f>N180-M180</f>
        <v/>
      </c>
      <c r="P180" s="7" t="n">
        <v>9.504</v>
      </c>
      <c r="Q180" s="4" t="inlineStr">
        <is>
          <t>kg</t>
        </is>
      </c>
      <c r="R180" s="4" t="inlineStr">
        <is>
          <t>1 each → 5000 each</t>
        </is>
      </c>
    </row>
    <row r="181">
      <c r="A181" s="4" t="inlineStr">
        <is>
          <t>Raisins</t>
        </is>
      </c>
      <c r="B181" s="4" t="inlineStr">
        <is>
          <t>DRY</t>
        </is>
      </c>
      <c r="C181" s="4" t="inlineStr">
        <is>
          <t>PREP-AREA</t>
        </is>
      </c>
      <c r="D181" s="4" t="inlineStr"/>
      <c r="E181" s="4" t="inlineStr">
        <is>
          <t>Physically counted 2026-08-01</t>
        </is>
      </c>
      <c r="F181" s="4" t="inlineStr">
        <is>
          <t>2026-08-01</t>
        </is>
      </c>
      <c r="G181" s="5" t="n">
        <v>0</v>
      </c>
      <c r="H181" s="4" t="inlineStr">
        <is>
          <t>kg</t>
        </is>
      </c>
      <c r="I181" s="5" t="n">
        <v>0</v>
      </c>
      <c r="J181" s="4" t="inlineStr">
        <is>
          <t>g</t>
        </is>
      </c>
      <c r="K181" s="6" t="n">
        <v>0.005756</v>
      </c>
      <c r="L181" s="6" t="n">
        <v>0.005756</v>
      </c>
      <c r="M181" s="7">
        <f>I181*K181</f>
        <v/>
      </c>
      <c r="N181" s="7">
        <f>I181*L181</f>
        <v/>
      </c>
      <c r="O181" s="7">
        <f>N181-M181</f>
        <v/>
      </c>
      <c r="P181" s="7" t="n">
        <v>5.756</v>
      </c>
      <c r="Q181" s="4" t="inlineStr">
        <is>
          <t>kg</t>
        </is>
      </c>
      <c r="R181" s="4" t="inlineStr">
        <is>
          <t>1 each → 10000 each</t>
        </is>
      </c>
    </row>
    <row r="182">
      <c r="A182" s="4" t="inlineStr">
        <is>
          <t>Red cooking wine</t>
        </is>
      </c>
      <c r="B182" s="4" t="inlineStr">
        <is>
          <t>DRY</t>
        </is>
      </c>
      <c r="C182" s="4" t="inlineStr"/>
      <c r="D182" s="4" t="inlineStr">
        <is>
          <t>Sysco</t>
        </is>
      </c>
      <c r="E182" s="4" t="inlineStr">
        <is>
          <t>Physically counted 2026-08-01</t>
        </is>
      </c>
      <c r="F182" s="4" t="inlineStr">
        <is>
          <t>2026-08-01</t>
        </is>
      </c>
      <c r="G182" s="5" t="n">
        <v>0</v>
      </c>
      <c r="H182" s="4" t="inlineStr">
        <is>
          <t>each</t>
        </is>
      </c>
      <c r="I182" s="5" t="n">
        <v>0</v>
      </c>
      <c r="J182" s="4" t="inlineStr">
        <is>
          <t>ml</t>
        </is>
      </c>
      <c r="K182" s="6" t="n">
        <v>0.00712037037037037</v>
      </c>
      <c r="L182" s="6" t="n">
        <v>0.00712037037037037</v>
      </c>
      <c r="M182" s="7">
        <f>I182*K182</f>
        <v/>
      </c>
      <c r="N182" s="7">
        <f>I182*L182</f>
        <v/>
      </c>
      <c r="O182" s="7">
        <f>N182-M182</f>
        <v/>
      </c>
      <c r="P182" s="7" t="n">
        <v>7.120370370370369</v>
      </c>
      <c r="Q182" s="4" t="inlineStr">
        <is>
          <t>L</t>
        </is>
      </c>
      <c r="R182" s="4" t="inlineStr">
        <is>
          <t>4 case → 3780 each</t>
        </is>
      </c>
    </row>
    <row r="183">
      <c r="A183" s="4" t="inlineStr">
        <is>
          <t>Rice flour</t>
        </is>
      </c>
      <c r="B183" s="4" t="inlineStr">
        <is>
          <t>DRY</t>
        </is>
      </c>
      <c r="C183" s="4" t="inlineStr"/>
      <c r="D183" s="4" t="inlineStr"/>
      <c r="E183" s="4" t="inlineStr">
        <is>
          <t>Physically counted 2026-08-01</t>
        </is>
      </c>
      <c r="F183" s="4" t="inlineStr">
        <is>
          <t>2026-08-01</t>
        </is>
      </c>
      <c r="G183" s="5" t="n">
        <v>1</v>
      </c>
      <c r="H183" s="4" t="inlineStr">
        <is>
          <t>each</t>
        </is>
      </c>
      <c r="I183" s="5" t="n">
        <v>5000</v>
      </c>
      <c r="J183" s="4" t="inlineStr">
        <is>
          <t>g</t>
        </is>
      </c>
      <c r="K183" s="6" t="n">
        <v>0.003926</v>
      </c>
      <c r="L183" s="6" t="n">
        <v>0.003926</v>
      </c>
      <c r="M183" s="7">
        <f>I183*K183</f>
        <v/>
      </c>
      <c r="N183" s="7">
        <f>I183*L183</f>
        <v/>
      </c>
      <c r="O183" s="7">
        <f>N183-M183</f>
        <v/>
      </c>
      <c r="P183" s="7" t="n">
        <v>3.926</v>
      </c>
      <c r="Q183" s="4" t="inlineStr">
        <is>
          <t>kg</t>
        </is>
      </c>
      <c r="R183" s="4" t="inlineStr">
        <is>
          <t>1 each → 5000 each</t>
        </is>
      </c>
    </row>
    <row r="184">
      <c r="A184" s="4" t="inlineStr">
        <is>
          <t>Rice Paper</t>
        </is>
      </c>
      <c r="B184" s="4" t="inlineStr">
        <is>
          <t>DRY</t>
        </is>
      </c>
      <c r="C184" s="4" t="inlineStr">
        <is>
          <t>SATELITE</t>
        </is>
      </c>
      <c r="D184" s="4" t="inlineStr"/>
      <c r="E184" s="4" t="inlineStr">
        <is>
          <t>Physically counted 2026-08-01</t>
        </is>
      </c>
      <c r="F184" s="4" t="inlineStr">
        <is>
          <t>2026-08-01</t>
        </is>
      </c>
      <c r="G184" s="5" t="n">
        <v>2</v>
      </c>
      <c r="H184" s="4" t="inlineStr">
        <is>
          <t>each</t>
        </is>
      </c>
      <c r="I184" s="5" t="n">
        <v>800</v>
      </c>
      <c r="J184" s="4" t="inlineStr">
        <is>
          <t>g</t>
        </is>
      </c>
      <c r="K184" s="6" t="n">
        <v>0.0286</v>
      </c>
      <c r="L184" s="6" t="n">
        <v>0.0286</v>
      </c>
      <c r="M184" s="7">
        <f>I184*K184</f>
        <v/>
      </c>
      <c r="N184" s="7">
        <f>I184*L184</f>
        <v/>
      </c>
      <c r="O184" s="7">
        <f>N184-M184</f>
        <v/>
      </c>
      <c r="P184" s="7" t="n">
        <v>28.6</v>
      </c>
      <c r="Q184" s="4" t="inlineStr">
        <is>
          <t>kg</t>
        </is>
      </c>
      <c r="R184" s="4" t="inlineStr">
        <is>
          <t>1 each → 400 each</t>
        </is>
      </c>
    </row>
    <row r="185">
      <c r="A185" s="4" t="inlineStr">
        <is>
          <t>rice vinegar</t>
        </is>
      </c>
      <c r="B185" s="4" t="inlineStr">
        <is>
          <t>DRY</t>
        </is>
      </c>
      <c r="C185" s="4" t="inlineStr"/>
      <c r="D185" s="4" t="inlineStr">
        <is>
          <t>Sysco</t>
        </is>
      </c>
      <c r="E185" s="4" t="inlineStr">
        <is>
          <t>Physically counted 2026-08-01</t>
        </is>
      </c>
      <c r="F185" s="4" t="inlineStr">
        <is>
          <t>2026-08-01</t>
        </is>
      </c>
      <c r="G185" s="5" t="n">
        <v>1</v>
      </c>
      <c r="H185" s="4" t="inlineStr">
        <is>
          <t>each</t>
        </is>
      </c>
      <c r="I185" s="5" t="n">
        <v>710</v>
      </c>
      <c r="J185" s="4" t="inlineStr">
        <is>
          <t>ml</t>
        </is>
      </c>
      <c r="K185" s="6" t="n">
        <v>0.009210093896713616</v>
      </c>
      <c r="L185" s="6" t="n">
        <v>0.009210093896713616</v>
      </c>
      <c r="M185" s="7">
        <f>I185*K185</f>
        <v/>
      </c>
      <c r="N185" s="7">
        <f>I185*L185</f>
        <v/>
      </c>
      <c r="O185" s="7">
        <f>N185-M185</f>
        <v/>
      </c>
      <c r="P185" s="7" t="n">
        <v>9.210093896713616</v>
      </c>
      <c r="Q185" s="4" t="inlineStr">
        <is>
          <t>L</t>
        </is>
      </c>
      <c r="R185" s="4" t="inlineStr">
        <is>
          <t>12 case → 710 each</t>
        </is>
      </c>
    </row>
    <row r="186">
      <c r="A186" s="4" t="inlineStr">
        <is>
          <t>Rolled oats</t>
        </is>
      </c>
      <c r="B186" s="4" t="inlineStr">
        <is>
          <t>DRY</t>
        </is>
      </c>
      <c r="C186" s="4" t="inlineStr"/>
      <c r="D186" s="4" t="inlineStr">
        <is>
          <t>Sysco</t>
        </is>
      </c>
      <c r="E186" s="4" t="inlineStr">
        <is>
          <t>Physically counted 2026-08-01</t>
        </is>
      </c>
      <c r="F186" s="4" t="inlineStr">
        <is>
          <t>2026-08-01</t>
        </is>
      </c>
      <c r="G186" s="5" t="n">
        <v>15000</v>
      </c>
      <c r="H186" s="4" t="inlineStr">
        <is>
          <t>g</t>
        </is>
      </c>
      <c r="I186" s="5" t="n">
        <v>15000</v>
      </c>
      <c r="J186" s="4" t="inlineStr">
        <is>
          <t>g</t>
        </is>
      </c>
      <c r="K186" s="6" t="n">
        <v>0.01065696649029982</v>
      </c>
      <c r="L186" s="6" t="n">
        <v>0.01065696649029982</v>
      </c>
      <c r="M186" s="7">
        <f>I186*K186</f>
        <v/>
      </c>
      <c r="N186" s="7">
        <f>I186*L186</f>
        <v/>
      </c>
      <c r="O186" s="7">
        <f>N186-M186</f>
        <v/>
      </c>
      <c r="P186" s="7" t="n">
        <v>10.65696649029982</v>
      </c>
      <c r="Q186" s="4" t="inlineStr">
        <is>
          <t>kg</t>
        </is>
      </c>
      <c r="R186" s="4" t="inlineStr">
        <is>
          <t>1 bag → 11340 each</t>
        </is>
      </c>
    </row>
    <row r="187">
      <c r="A187" s="4" t="inlineStr">
        <is>
          <t>Rosemary Dry</t>
        </is>
      </c>
      <c r="B187" s="4" t="inlineStr">
        <is>
          <t>DRY</t>
        </is>
      </c>
      <c r="C187" s="4" t="inlineStr">
        <is>
          <t>PREP-AREA</t>
        </is>
      </c>
      <c r="D187" s="4" t="inlineStr"/>
      <c r="E187" s="4" t="inlineStr">
        <is>
          <t>Physically counted 2026-08-01</t>
        </is>
      </c>
      <c r="F187" s="4" t="inlineStr">
        <is>
          <t>2026-08-01</t>
        </is>
      </c>
      <c r="G187" s="5" t="n">
        <v>0.2</v>
      </c>
      <c r="H187" s="4" t="inlineStr">
        <is>
          <t>kg</t>
        </is>
      </c>
      <c r="I187" s="5" t="n">
        <v>200</v>
      </c>
      <c r="J187" s="4" t="inlineStr">
        <is>
          <t>g</t>
        </is>
      </c>
      <c r="K187" s="6" t="n">
        <v>0.0143</v>
      </c>
      <c r="L187" s="6" t="n">
        <v>0.0143</v>
      </c>
      <c r="M187" s="7">
        <f>I187*K187</f>
        <v/>
      </c>
      <c r="N187" s="7">
        <f>I187*L187</f>
        <v/>
      </c>
      <c r="O187" s="7">
        <f>N187-M187</f>
        <v/>
      </c>
      <c r="P187" s="7" t="n">
        <v>14.3</v>
      </c>
      <c r="Q187" s="4" t="inlineStr">
        <is>
          <t>kg</t>
        </is>
      </c>
      <c r="R187" s="4" t="inlineStr">
        <is>
          <t>1 each → 1000 each</t>
        </is>
      </c>
    </row>
    <row r="188">
      <c r="A188" s="4" t="inlineStr">
        <is>
          <t>Rum flavor</t>
        </is>
      </c>
      <c r="B188" s="4" t="inlineStr">
        <is>
          <t>DRY</t>
        </is>
      </c>
      <c r="C188" s="4" t="inlineStr">
        <is>
          <t>SATELITE</t>
        </is>
      </c>
      <c r="D188" s="4" t="inlineStr"/>
      <c r="E188" s="4" t="inlineStr">
        <is>
          <t>Physically counted 2026-08-01</t>
        </is>
      </c>
      <c r="F188" s="4" t="inlineStr">
        <is>
          <t>2026-08-01</t>
        </is>
      </c>
      <c r="G188" s="5" t="n">
        <v>0.5</v>
      </c>
      <c r="H188" s="4" t="inlineStr">
        <is>
          <t>pack</t>
        </is>
      </c>
      <c r="I188" s="5" t="n">
        <v>500</v>
      </c>
      <c r="J188" s="4" t="inlineStr">
        <is>
          <t>ml</t>
        </is>
      </c>
      <c r="K188" s="6" t="n">
        <v>0.01635</v>
      </c>
      <c r="L188" s="6" t="n">
        <v>0.01635</v>
      </c>
      <c r="M188" s="7">
        <f>I188*K188</f>
        <v/>
      </c>
      <c r="N188" s="7">
        <f>I188*L188</f>
        <v/>
      </c>
      <c r="O188" s="7">
        <f>N188-M188</f>
        <v/>
      </c>
      <c r="P188" s="7" t="n">
        <v>16.35</v>
      </c>
      <c r="Q188" s="4" t="inlineStr">
        <is>
          <t>L</t>
        </is>
      </c>
      <c r="R188" s="4" t="inlineStr">
        <is>
          <t>1 pack → 1000 each</t>
        </is>
      </c>
    </row>
    <row r="189">
      <c r="A189" s="4" t="inlineStr">
        <is>
          <t>Saraparilla Root</t>
        </is>
      </c>
      <c r="B189" s="4" t="inlineStr">
        <is>
          <t>DRY</t>
        </is>
      </c>
      <c r="C189" s="4" t="inlineStr">
        <is>
          <t>PREP-AREA</t>
        </is>
      </c>
      <c r="D189" s="4" t="inlineStr"/>
      <c r="E189" s="4" t="inlineStr">
        <is>
          <t>Physically counted 2026-08-01</t>
        </is>
      </c>
      <c r="F189" s="4" t="inlineStr">
        <is>
          <t>2026-08-01</t>
        </is>
      </c>
      <c r="G189" s="5" t="n">
        <v>0.59</v>
      </c>
      <c r="H189" s="4" t="inlineStr">
        <is>
          <t>kg</t>
        </is>
      </c>
      <c r="I189" s="5" t="n">
        <v>590</v>
      </c>
      <c r="J189" s="4" t="inlineStr">
        <is>
          <t>g</t>
        </is>
      </c>
      <c r="K189" s="6" t="n">
        <v>0.1578070175438596</v>
      </c>
      <c r="L189" s="6" t="n">
        <v>0.1578070175438596</v>
      </c>
      <c r="M189" s="7">
        <f>I189*K189</f>
        <v/>
      </c>
      <c r="N189" s="7">
        <f>I189*L189</f>
        <v/>
      </c>
      <c r="O189" s="7">
        <f>N189-M189</f>
        <v/>
      </c>
      <c r="P189" s="7" t="n">
        <v>157.8070175438596</v>
      </c>
      <c r="Q189" s="4" t="inlineStr">
        <is>
          <t>kg</t>
        </is>
      </c>
      <c r="R189" s="4" t="inlineStr">
        <is>
          <t>1 each → 114 each</t>
        </is>
      </c>
    </row>
    <row r="190">
      <c r="A190" s="4" t="inlineStr">
        <is>
          <t>Sesame Oil</t>
        </is>
      </c>
      <c r="B190" s="4" t="inlineStr">
        <is>
          <t>DRY</t>
        </is>
      </c>
      <c r="C190" s="4" t="inlineStr">
        <is>
          <t>PREP-AREA</t>
        </is>
      </c>
      <c r="D190" s="4" t="inlineStr">
        <is>
          <t>Sysco</t>
        </is>
      </c>
      <c r="E190" s="4" t="inlineStr">
        <is>
          <t>Physically counted 2026-08-01</t>
        </is>
      </c>
      <c r="F190" s="4" t="inlineStr">
        <is>
          <t>2026-08-01</t>
        </is>
      </c>
      <c r="G190" s="5" t="n">
        <v>0</v>
      </c>
      <c r="H190" s="4" t="inlineStr">
        <is>
          <t>case</t>
        </is>
      </c>
      <c r="I190" s="5" t="n">
        <v>0</v>
      </c>
      <c r="J190" s="4" t="inlineStr">
        <is>
          <t>ml</t>
        </is>
      </c>
      <c r="K190" s="6" t="n">
        <v>0.02420762711864407</v>
      </c>
      <c r="L190" s="6" t="n">
        <v>0.02420762711864407</v>
      </c>
      <c r="M190" s="7">
        <f>I190*K190</f>
        <v/>
      </c>
      <c r="N190" s="7">
        <f>I190*L190</f>
        <v/>
      </c>
      <c r="O190" s="7">
        <f>N190-M190</f>
        <v/>
      </c>
      <c r="P190" s="7" t="n">
        <v>24.20762711864407</v>
      </c>
      <c r="Q190" s="4" t="inlineStr">
        <is>
          <t>L</t>
        </is>
      </c>
      <c r="R190" s="4" t="inlineStr">
        <is>
          <t>4 case → 1180 each</t>
        </is>
      </c>
    </row>
    <row r="191">
      <c r="A191" s="4" t="inlineStr">
        <is>
          <t>Sesame Seeds</t>
        </is>
      </c>
      <c r="B191" s="4" t="inlineStr">
        <is>
          <t>DRY</t>
        </is>
      </c>
      <c r="C191" s="4" t="inlineStr"/>
      <c r="D191" s="4" t="inlineStr"/>
      <c r="E191" s="4" t="inlineStr">
        <is>
          <t>Physically counted 2026-08-01</t>
        </is>
      </c>
      <c r="F191" s="4" t="inlineStr">
        <is>
          <t>2026-08-01</t>
        </is>
      </c>
      <c r="G191" s="5" t="n">
        <v>0.9</v>
      </c>
      <c r="H191" s="4" t="inlineStr">
        <is>
          <t>each</t>
        </is>
      </c>
      <c r="I191" s="5" t="n">
        <v>4500</v>
      </c>
      <c r="J191" s="4" t="inlineStr">
        <is>
          <t>g</t>
        </is>
      </c>
      <c r="K191" s="6" t="n">
        <v>0.00525</v>
      </c>
      <c r="L191" s="6" t="n">
        <v>0.00525</v>
      </c>
      <c r="M191" s="7">
        <f>I191*K191</f>
        <v/>
      </c>
      <c r="N191" s="7">
        <f>I191*L191</f>
        <v/>
      </c>
      <c r="O191" s="7">
        <f>N191-M191</f>
        <v/>
      </c>
      <c r="P191" s="7" t="n">
        <v>5.25</v>
      </c>
      <c r="Q191" s="4" t="inlineStr">
        <is>
          <t>kg</t>
        </is>
      </c>
      <c r="R191" s="4" t="inlineStr">
        <is>
          <t>1 each → 5000 each</t>
        </is>
      </c>
    </row>
    <row r="192">
      <c r="A192" s="4" t="inlineStr">
        <is>
          <t>Star anise</t>
        </is>
      </c>
      <c r="B192" s="4" t="inlineStr">
        <is>
          <t>DRY</t>
        </is>
      </c>
      <c r="C192" s="4" t="inlineStr">
        <is>
          <t>PREP-AREA</t>
        </is>
      </c>
      <c r="D192" s="4" t="inlineStr"/>
      <c r="E192" s="4" t="inlineStr">
        <is>
          <t>Physically counted 2026-08-01</t>
        </is>
      </c>
      <c r="F192" s="4" t="inlineStr">
        <is>
          <t>2026-08-01</t>
        </is>
      </c>
      <c r="G192" s="5" t="n">
        <v>1.3</v>
      </c>
      <c r="H192" s="4" t="inlineStr">
        <is>
          <t>kg</t>
        </is>
      </c>
      <c r="I192" s="5" t="n">
        <v>1300</v>
      </c>
      <c r="J192" s="4" t="inlineStr">
        <is>
          <t>g</t>
        </is>
      </c>
      <c r="K192" s="6" t="n">
        <v>0.01152</v>
      </c>
      <c r="L192" s="6" t="n">
        <v>0.01152</v>
      </c>
      <c r="M192" s="7">
        <f>I192*K192</f>
        <v/>
      </c>
      <c r="N192" s="7">
        <f>I192*L192</f>
        <v/>
      </c>
      <c r="O192" s="7">
        <f>N192-M192</f>
        <v/>
      </c>
      <c r="P192" s="7" t="n">
        <v>11.52</v>
      </c>
      <c r="Q192" s="4" t="inlineStr">
        <is>
          <t>kg</t>
        </is>
      </c>
      <c r="R192" s="4" t="inlineStr">
        <is>
          <t>1 each → 2250 each</t>
        </is>
      </c>
    </row>
    <row r="193">
      <c r="A193" s="4" t="inlineStr">
        <is>
          <t>Sugar Brown</t>
        </is>
      </c>
      <c r="B193" s="4" t="inlineStr">
        <is>
          <t>DRY</t>
        </is>
      </c>
      <c r="C193" s="4" t="inlineStr"/>
      <c r="D193" s="4" t="inlineStr">
        <is>
          <t>Sysco</t>
        </is>
      </c>
      <c r="E193" s="4" t="inlineStr">
        <is>
          <t>Physically counted 2026-08-01</t>
        </is>
      </c>
      <c r="F193" s="4" t="inlineStr">
        <is>
          <t>2026-08-01</t>
        </is>
      </c>
      <c r="G193" s="5" t="n">
        <v>3</v>
      </c>
      <c r="H193" s="4" t="inlineStr">
        <is>
          <t>case</t>
        </is>
      </c>
      <c r="I193" s="5" t="n">
        <v>60000</v>
      </c>
      <c r="J193" s="4" t="inlineStr">
        <is>
          <t>g</t>
        </is>
      </c>
      <c r="K193" s="6" t="n">
        <v>0.0023375</v>
      </c>
      <c r="L193" s="6" t="n">
        <v>0.0022285</v>
      </c>
      <c r="M193" s="7">
        <f>I193*K193</f>
        <v/>
      </c>
      <c r="N193" s="7">
        <f>I193*L193</f>
        <v/>
      </c>
      <c r="O193" s="7">
        <f>N193-M193</f>
        <v/>
      </c>
      <c r="P193" s="7" t="n">
        <v>2.2285</v>
      </c>
      <c r="Q193" s="4" t="inlineStr">
        <is>
          <t>kg</t>
        </is>
      </c>
      <c r="R193" s="4" t="inlineStr">
        <is>
          <t>20000 case</t>
        </is>
      </c>
    </row>
    <row r="194">
      <c r="A194" s="4" t="inlineStr">
        <is>
          <t>Sugar icing</t>
        </is>
      </c>
      <c r="B194" s="4" t="inlineStr">
        <is>
          <t>DRY</t>
        </is>
      </c>
      <c r="C194" s="4" t="inlineStr">
        <is>
          <t>PREP-AREA</t>
        </is>
      </c>
      <c r="D194" s="4" t="inlineStr">
        <is>
          <t>Sysco</t>
        </is>
      </c>
      <c r="E194" s="4" t="inlineStr">
        <is>
          <t>Physically counted 2026-08-01</t>
        </is>
      </c>
      <c r="F194" s="4" t="inlineStr">
        <is>
          <t>2026-08-01</t>
        </is>
      </c>
      <c r="G194" s="5" t="n">
        <v>1</v>
      </c>
      <c r="H194" s="4" t="inlineStr">
        <is>
          <t>kg</t>
        </is>
      </c>
      <c r="I194" s="5" t="n">
        <v>1000</v>
      </c>
      <c r="J194" s="4" t="inlineStr">
        <is>
          <t>g</t>
        </is>
      </c>
      <c r="K194" s="6" t="n">
        <v>0.004972083333333334</v>
      </c>
      <c r="L194" s="6" t="n">
        <v>0.00021875</v>
      </c>
      <c r="M194" s="7">
        <f>I194*K194</f>
        <v/>
      </c>
      <c r="N194" s="7">
        <f>I194*L194</f>
        <v/>
      </c>
      <c r="O194" s="7">
        <f>N194-M194</f>
        <v/>
      </c>
      <c r="P194" s="7" t="n">
        <v>0.21875</v>
      </c>
      <c r="Q194" s="4" t="inlineStr">
        <is>
          <t>kg</t>
        </is>
      </c>
      <c r="R194" s="4" t="inlineStr">
        <is>
          <t>24 case → 1000 each</t>
        </is>
      </c>
    </row>
    <row r="195">
      <c r="A195" s="4" t="inlineStr">
        <is>
          <t>Sugar white granulated</t>
        </is>
      </c>
      <c r="B195" s="4" t="inlineStr">
        <is>
          <t>DRY</t>
        </is>
      </c>
      <c r="C195" s="4" t="inlineStr"/>
      <c r="D195" s="4" t="inlineStr"/>
      <c r="E195" s="4" t="inlineStr">
        <is>
          <t>Physically counted 2026-08-01</t>
        </is>
      </c>
      <c r="F195" s="4" t="inlineStr">
        <is>
          <t>2026-08-01</t>
        </is>
      </c>
      <c r="G195" s="5" t="n">
        <v>2.7</v>
      </c>
      <c r="H195" s="4" t="inlineStr">
        <is>
          <t>case</t>
        </is>
      </c>
      <c r="I195" s="5" t="n">
        <v>54000</v>
      </c>
      <c r="J195" s="4" t="inlineStr">
        <is>
          <t>g</t>
        </is>
      </c>
      <c r="K195" s="6" t="n">
        <v>0.0016975</v>
      </c>
      <c r="L195" s="6" t="n">
        <v>0.0016975</v>
      </c>
      <c r="M195" s="7">
        <f>I195*K195</f>
        <v/>
      </c>
      <c r="N195" s="7">
        <f>I195*L195</f>
        <v/>
      </c>
      <c r="O195" s="7">
        <f>N195-M195</f>
        <v/>
      </c>
      <c r="P195" s="7" t="n">
        <v>1.6975</v>
      </c>
      <c r="Q195" s="4" t="inlineStr">
        <is>
          <t>kg</t>
        </is>
      </c>
      <c r="R195" s="4" t="inlineStr">
        <is>
          <t>1 case → 20000 each</t>
        </is>
      </c>
    </row>
    <row r="196">
      <c r="A196" s="4" t="inlineStr">
        <is>
          <t>sumac</t>
        </is>
      </c>
      <c r="B196" s="4" t="inlineStr">
        <is>
          <t>DRY</t>
        </is>
      </c>
      <c r="C196" s="4" t="inlineStr">
        <is>
          <t>PREP-AREA</t>
        </is>
      </c>
      <c r="D196" s="4" t="inlineStr"/>
      <c r="E196" s="4" t="inlineStr">
        <is>
          <t>Physically counted 2026-08-01</t>
        </is>
      </c>
      <c r="F196" s="4" t="inlineStr">
        <is>
          <t>2026-08-01</t>
        </is>
      </c>
      <c r="G196" s="5" t="n">
        <v>0.5600000000000001</v>
      </c>
      <c r="H196" s="4" t="inlineStr">
        <is>
          <t>kg</t>
        </is>
      </c>
      <c r="I196" s="5" t="n">
        <v>560</v>
      </c>
      <c r="J196" s="4" t="inlineStr">
        <is>
          <t>g</t>
        </is>
      </c>
      <c r="K196" s="6" t="n">
        <v>0.03326666666666667</v>
      </c>
      <c r="L196" s="6" t="n">
        <v>0.03326666666666667</v>
      </c>
      <c r="M196" s="7">
        <f>I196*K196</f>
        <v/>
      </c>
      <c r="N196" s="7">
        <f>I196*L196</f>
        <v/>
      </c>
      <c r="O196" s="7">
        <f>N196-M196</f>
        <v/>
      </c>
      <c r="P196" s="7" t="n">
        <v>33.26666666666667</v>
      </c>
      <c r="Q196" s="4" t="inlineStr">
        <is>
          <t>kg</t>
        </is>
      </c>
      <c r="R196" s="4" t="inlineStr">
        <is>
          <t>1 each → 150 each</t>
        </is>
      </c>
    </row>
    <row r="197">
      <c r="A197" s="4" t="inlineStr">
        <is>
          <t>Sun Dried Tomatoes</t>
        </is>
      </c>
      <c r="B197" s="4" t="inlineStr">
        <is>
          <t>DRY</t>
        </is>
      </c>
      <c r="C197" s="4" t="inlineStr">
        <is>
          <t>PREP-AREA</t>
        </is>
      </c>
      <c r="D197" s="4" t="inlineStr"/>
      <c r="E197" s="4" t="inlineStr">
        <is>
          <t>Physically counted 2026-08-01</t>
        </is>
      </c>
      <c r="F197" s="4" t="inlineStr">
        <is>
          <t>2026-08-01</t>
        </is>
      </c>
      <c r="G197" s="5" t="n">
        <v>143</v>
      </c>
      <c r="H197" s="4" t="inlineStr">
        <is>
          <t>g</t>
        </is>
      </c>
      <c r="I197" s="5" t="n">
        <v>143</v>
      </c>
      <c r="J197" s="4" t="inlineStr">
        <is>
          <t>g</t>
        </is>
      </c>
      <c r="K197" s="6" t="n">
        <v>0.02824669603524229</v>
      </c>
      <c r="L197" s="6" t="n">
        <v>0.02824669603524229</v>
      </c>
      <c r="M197" s="7">
        <f>I197*K197</f>
        <v/>
      </c>
      <c r="N197" s="7">
        <f>I197*L197</f>
        <v/>
      </c>
      <c r="O197" s="7">
        <f>N197-M197</f>
        <v/>
      </c>
      <c r="P197" s="7" t="n">
        <v>28.24669603524229</v>
      </c>
      <c r="Q197" s="4" t="inlineStr">
        <is>
          <t>kg</t>
        </is>
      </c>
      <c r="R197" s="4" t="inlineStr">
        <is>
          <t>1 case → 2270 each</t>
        </is>
      </c>
    </row>
    <row r="198">
      <c r="A198" s="4" t="inlineStr">
        <is>
          <t>Sunflower Seeds</t>
        </is>
      </c>
      <c r="B198" s="4" t="inlineStr">
        <is>
          <t>DRY</t>
        </is>
      </c>
      <c r="C198" s="4" t="inlineStr">
        <is>
          <t>PREP-AREA</t>
        </is>
      </c>
      <c r="D198" s="4" t="inlineStr"/>
      <c r="E198" s="4" t="inlineStr">
        <is>
          <t>Physically counted 2026-08-01</t>
        </is>
      </c>
      <c r="F198" s="4" t="inlineStr">
        <is>
          <t>2026-08-01</t>
        </is>
      </c>
      <c r="G198" s="5" t="n">
        <v>1.2</v>
      </c>
      <c r="H198" s="4" t="inlineStr">
        <is>
          <t>each</t>
        </is>
      </c>
      <c r="I198" s="5" t="n">
        <v>6000</v>
      </c>
      <c r="J198" s="4" t="inlineStr">
        <is>
          <t>g</t>
        </is>
      </c>
      <c r="K198" s="6" t="n">
        <v>0.004488000000000001</v>
      </c>
      <c r="L198" s="6" t="n">
        <v>0.004488000000000001</v>
      </c>
      <c r="M198" s="7">
        <f>I198*K198</f>
        <v/>
      </c>
      <c r="N198" s="7">
        <f>I198*L198</f>
        <v/>
      </c>
      <c r="O198" s="7">
        <f>N198-M198</f>
        <v/>
      </c>
      <c r="P198" s="7" t="n">
        <v>4.488</v>
      </c>
      <c r="Q198" s="4" t="inlineStr">
        <is>
          <t>kg</t>
        </is>
      </c>
      <c r="R198" s="4" t="inlineStr">
        <is>
          <t>1 each → 5000 each</t>
        </is>
      </c>
    </row>
    <row r="199">
      <c r="A199" s="4" t="inlineStr">
        <is>
          <t>Sushi Rice</t>
        </is>
      </c>
      <c r="B199" s="4" t="inlineStr">
        <is>
          <t>DRY</t>
        </is>
      </c>
      <c r="C199" s="4" t="inlineStr">
        <is>
          <t>SATELITE</t>
        </is>
      </c>
      <c r="D199" s="4" t="inlineStr">
        <is>
          <t>Sysco</t>
        </is>
      </c>
      <c r="E199" s="4" t="inlineStr">
        <is>
          <t>Physically counted 2026-08-01</t>
        </is>
      </c>
      <c r="F199" s="4" t="inlineStr">
        <is>
          <t>2026-08-01</t>
        </is>
      </c>
      <c r="G199" s="5" t="n">
        <v>0</v>
      </c>
      <c r="H199" s="4" t="inlineStr">
        <is>
          <t>kg</t>
        </is>
      </c>
      <c r="I199" s="5" t="n">
        <v>0</v>
      </c>
      <c r="J199" s="4" t="inlineStr">
        <is>
          <t>g</t>
        </is>
      </c>
      <c r="K199" s="6" t="n">
        <v>0.003977142454011534</v>
      </c>
      <c r="L199" s="6" t="n">
        <v>0.003977142454011534</v>
      </c>
      <c r="M199" s="7">
        <f>I199*K199</f>
        <v/>
      </c>
      <c r="N199" s="7">
        <f>I199*L199</f>
        <v/>
      </c>
      <c r="O199" s="7">
        <f>N199-M199</f>
        <v/>
      </c>
      <c r="P199" s="7" t="n">
        <v>3.977142454011534</v>
      </c>
      <c r="Q199" s="4" t="inlineStr">
        <is>
          <t>kg</t>
        </is>
      </c>
      <c r="R199" s="4" t="inlineStr">
        <is>
          <t>1 each → 18143.68 each</t>
        </is>
      </c>
    </row>
    <row r="200">
      <c r="A200" s="4" t="inlineStr">
        <is>
          <t>Tabasco</t>
        </is>
      </c>
      <c r="B200" s="4" t="inlineStr">
        <is>
          <t>DRY</t>
        </is>
      </c>
      <c r="C200" s="4" t="inlineStr">
        <is>
          <t>PREP-AREA</t>
        </is>
      </c>
      <c r="D200" s="4" t="inlineStr">
        <is>
          <t>Sysco</t>
        </is>
      </c>
      <c r="E200" s="4" t="inlineStr">
        <is>
          <t>Physically counted 2026-08-01</t>
        </is>
      </c>
      <c r="F200" s="4" t="inlineStr">
        <is>
          <t>2026-08-01</t>
        </is>
      </c>
      <c r="G200" s="5" t="n">
        <v>1</v>
      </c>
      <c r="H200" s="4" t="inlineStr">
        <is>
          <t>each</t>
        </is>
      </c>
      <c r="I200" s="5" t="n">
        <v>350</v>
      </c>
      <c r="J200" s="4" t="inlineStr">
        <is>
          <t>ml</t>
        </is>
      </c>
      <c r="K200" s="6" t="n">
        <v>0.03619047619047619</v>
      </c>
      <c r="L200" s="6" t="n">
        <v>0.03619047619047619</v>
      </c>
      <c r="M200" s="7">
        <f>I200*K200</f>
        <v/>
      </c>
      <c r="N200" s="7">
        <f>I200*L200</f>
        <v/>
      </c>
      <c r="O200" s="7">
        <f>N200-M200</f>
        <v/>
      </c>
      <c r="P200" s="7" t="n">
        <v>36.19047619047619</v>
      </c>
      <c r="Q200" s="4" t="inlineStr">
        <is>
          <t>L</t>
        </is>
      </c>
      <c r="R200" s="4" t="inlineStr">
        <is>
          <t>12 case → 350 each</t>
        </is>
      </c>
    </row>
    <row r="201">
      <c r="A201" s="4" t="inlineStr">
        <is>
          <t>Tahini</t>
        </is>
      </c>
      <c r="B201" s="4" t="inlineStr">
        <is>
          <t>DRY</t>
        </is>
      </c>
      <c r="C201" s="4" t="inlineStr">
        <is>
          <t>FRIDGE</t>
        </is>
      </c>
      <c r="D201" s="4" t="inlineStr">
        <is>
          <t>Sysco</t>
        </is>
      </c>
      <c r="E201" s="4" t="inlineStr">
        <is>
          <t>Physically counted 2026-08-01</t>
        </is>
      </c>
      <c r="F201" s="4" t="inlineStr">
        <is>
          <t>2026-08-01</t>
        </is>
      </c>
      <c r="G201" s="5" t="n">
        <v>0</v>
      </c>
      <c r="H201" s="4" t="inlineStr">
        <is>
          <t>case</t>
        </is>
      </c>
      <c r="I201" s="5" t="n">
        <v>0</v>
      </c>
      <c r="J201" s="4" t="inlineStr">
        <is>
          <t>g</t>
        </is>
      </c>
      <c r="K201" s="6" t="n">
        <v>0.01515</v>
      </c>
      <c r="L201" s="6" t="n">
        <v>0.01515</v>
      </c>
      <c r="M201" s="7">
        <f>I201*K201</f>
        <v/>
      </c>
      <c r="N201" s="7">
        <f>I201*L201</f>
        <v/>
      </c>
      <c r="O201" s="7">
        <f>N201-M201</f>
        <v/>
      </c>
      <c r="P201" s="7" t="n">
        <v>15.15</v>
      </c>
      <c r="Q201" s="4" t="inlineStr">
        <is>
          <t>kg</t>
        </is>
      </c>
      <c r="R201" s="4" t="inlineStr">
        <is>
          <t>2 case → 5000 each</t>
        </is>
      </c>
    </row>
    <row r="202">
      <c r="A202" s="4" t="inlineStr">
        <is>
          <t>Tamari Soy Sauce</t>
        </is>
      </c>
      <c r="B202" s="4" t="inlineStr">
        <is>
          <t>DRY</t>
        </is>
      </c>
      <c r="C202" s="4" t="inlineStr">
        <is>
          <t>PREP-AREA</t>
        </is>
      </c>
      <c r="D202" s="4" t="inlineStr">
        <is>
          <t>Sysco</t>
        </is>
      </c>
      <c r="E202" s="4" t="inlineStr">
        <is>
          <t>Physically counted 2026-08-01</t>
        </is>
      </c>
      <c r="F202" s="4" t="inlineStr">
        <is>
          <t>2026-08-01</t>
        </is>
      </c>
      <c r="G202" s="5" t="n">
        <v>2.5</v>
      </c>
      <c r="H202" s="4" t="inlineStr">
        <is>
          <t>each</t>
        </is>
      </c>
      <c r="I202" s="5" t="n">
        <v>4725</v>
      </c>
      <c r="J202" s="4" t="inlineStr">
        <is>
          <t>ml</t>
        </is>
      </c>
      <c r="K202" s="6" t="n">
        <v>0.002421516754850088</v>
      </c>
      <c r="L202" s="6" t="n">
        <v>0.002421516754850088</v>
      </c>
      <c r="M202" s="7">
        <f>I202*K202</f>
        <v/>
      </c>
      <c r="N202" s="7">
        <f>I202*L202</f>
        <v/>
      </c>
      <c r="O202" s="7">
        <f>N202-M202</f>
        <v/>
      </c>
      <c r="P202" s="7" t="n">
        <v>2.421516754850088</v>
      </c>
      <c r="Q202" s="4" t="inlineStr">
        <is>
          <t>L</t>
        </is>
      </c>
      <c r="R202" s="4" t="inlineStr">
        <is>
          <t>6 case → 1890 each</t>
        </is>
      </c>
    </row>
    <row r="203">
      <c r="A203" s="4" t="inlineStr">
        <is>
          <t>tapioca starch</t>
        </is>
      </c>
      <c r="B203" s="4" t="inlineStr">
        <is>
          <t>DRY</t>
        </is>
      </c>
      <c r="C203" s="4" t="inlineStr"/>
      <c r="D203" s="4" t="inlineStr"/>
      <c r="E203" s="4" t="inlineStr">
        <is>
          <t>Physically counted 2026-08-01</t>
        </is>
      </c>
      <c r="F203" s="4" t="inlineStr">
        <is>
          <t>2026-08-01</t>
        </is>
      </c>
      <c r="G203" s="5" t="n">
        <v>1</v>
      </c>
      <c r="H203" s="4" t="inlineStr">
        <is>
          <t>each</t>
        </is>
      </c>
      <c r="I203" s="5" t="n">
        <v>5000</v>
      </c>
      <c r="J203" s="4" t="inlineStr">
        <is>
          <t>g</t>
        </is>
      </c>
      <c r="K203" s="6" t="n">
        <v>0.003498</v>
      </c>
      <c r="L203" s="6" t="n">
        <v>0.003758</v>
      </c>
      <c r="M203" s="7">
        <f>I203*K203</f>
        <v/>
      </c>
      <c r="N203" s="7">
        <f>I203*L203</f>
        <v/>
      </c>
      <c r="O203" s="7">
        <f>N203-M203</f>
        <v/>
      </c>
      <c r="P203" s="7" t="n">
        <v>3.758</v>
      </c>
      <c r="Q203" s="4" t="inlineStr">
        <is>
          <t>kg</t>
        </is>
      </c>
      <c r="R203" s="4" t="inlineStr">
        <is>
          <t>1 each → 5000 each</t>
        </is>
      </c>
    </row>
    <row r="204">
      <c r="A204" s="4" t="inlineStr">
        <is>
          <t>Tomato Crushed San Benito</t>
        </is>
      </c>
      <c r="B204" s="4" t="inlineStr">
        <is>
          <t>DRY</t>
        </is>
      </c>
      <c r="C204" s="4" t="inlineStr">
        <is>
          <t>PREP-AREA</t>
        </is>
      </c>
      <c r="D204" s="4" t="inlineStr"/>
      <c r="E204" s="4" t="inlineStr">
        <is>
          <t>Physically counted 2026-08-01</t>
        </is>
      </c>
      <c r="F204" s="4" t="inlineStr">
        <is>
          <t>2026-08-01</t>
        </is>
      </c>
      <c r="G204" s="5" t="n">
        <v>0</v>
      </c>
      <c r="H204" s="4" t="inlineStr">
        <is>
          <t>cs</t>
        </is>
      </c>
      <c r="I204" s="5" t="n">
        <v>0</v>
      </c>
      <c r="J204" s="4" t="inlineStr">
        <is>
          <t>g</t>
        </is>
      </c>
      <c r="K204" s="6" t="n">
        <v>0.003299881832131079</v>
      </c>
      <c r="L204" s="6" t="n">
        <v>0.003299881832131079</v>
      </c>
      <c r="M204" s="7">
        <f>I204*K204</f>
        <v/>
      </c>
      <c r="N204" s="7">
        <f>I204*L204</f>
        <v/>
      </c>
      <c r="O204" s="7">
        <f>N204-M204</f>
        <v/>
      </c>
      <c r="P204" s="7" t="n">
        <v>3.299881832131079</v>
      </c>
      <c r="Q204" s="4" t="inlineStr">
        <is>
          <t>kg</t>
        </is>
      </c>
      <c r="R204" s="4" t="inlineStr">
        <is>
          <t>6 cs → 2834.95 box</t>
        </is>
      </c>
    </row>
    <row r="205">
      <c r="A205" s="4" t="inlineStr">
        <is>
          <t>Tomato Paste</t>
        </is>
      </c>
      <c r="B205" s="4" t="inlineStr">
        <is>
          <t>DRY</t>
        </is>
      </c>
      <c r="C205" s="4" t="inlineStr">
        <is>
          <t>PREP-AREA</t>
        </is>
      </c>
      <c r="D205" s="4" t="inlineStr">
        <is>
          <t>Sysco</t>
        </is>
      </c>
      <c r="E205" s="4" t="inlineStr">
        <is>
          <t>Physically counted 2026-08-01</t>
        </is>
      </c>
      <c r="F205" s="4" t="inlineStr">
        <is>
          <t>2026-08-01</t>
        </is>
      </c>
      <c r="G205" s="5" t="n">
        <v>5</v>
      </c>
      <c r="H205" s="4" t="inlineStr">
        <is>
          <t>each</t>
        </is>
      </c>
      <c r="I205" s="5" t="n">
        <v>14200</v>
      </c>
      <c r="J205" s="4" t="inlineStr">
        <is>
          <t>ml</t>
        </is>
      </c>
      <c r="K205" s="6" t="n">
        <v>0.005480046948356807</v>
      </c>
      <c r="L205" s="6" t="n">
        <v>0.005480046948356807</v>
      </c>
      <c r="M205" s="7">
        <f>I205*K205</f>
        <v/>
      </c>
      <c r="N205" s="7">
        <f>I205*L205</f>
        <v/>
      </c>
      <c r="O205" s="7">
        <f>N205-M205</f>
        <v/>
      </c>
      <c r="P205" s="7" t="n">
        <v>5.480046948356807</v>
      </c>
      <c r="Q205" s="4" t="inlineStr">
        <is>
          <t>L</t>
        </is>
      </c>
      <c r="R205" s="4" t="inlineStr">
        <is>
          <t>6 case → 2840 each</t>
        </is>
      </c>
    </row>
    <row r="206">
      <c r="A206" s="4" t="inlineStr">
        <is>
          <t>Tomato Whole Peeled</t>
        </is>
      </c>
      <c r="B206" s="4" t="inlineStr">
        <is>
          <t>DRY</t>
        </is>
      </c>
      <c r="C206" s="4" t="inlineStr"/>
      <c r="D206" s="4" t="inlineStr"/>
      <c r="E206" s="4" t="inlineStr">
        <is>
          <t>Physically counted 2026-08-01</t>
        </is>
      </c>
      <c r="F206" s="4" t="inlineStr">
        <is>
          <t>2026-08-01</t>
        </is>
      </c>
      <c r="G206" s="5" t="n">
        <v>0</v>
      </c>
      <c r="H206" s="4" t="inlineStr">
        <is>
          <t>ml</t>
        </is>
      </c>
      <c r="I206" s="5" t="n">
        <v>0</v>
      </c>
      <c r="J206" s="4" t="inlineStr">
        <is>
          <t>ml</t>
        </is>
      </c>
      <c r="K206" s="6" t="n">
        <v>0.003850156087408949</v>
      </c>
      <c r="L206" s="6" t="n">
        <v>0.003850156087408949</v>
      </c>
      <c r="M206" s="7">
        <f>I206*K206</f>
        <v/>
      </c>
      <c r="N206" s="7">
        <f>I206*L206</f>
        <v/>
      </c>
      <c r="O206" s="7">
        <f>N206-M206</f>
        <v/>
      </c>
      <c r="P206" s="7" t="n">
        <v>3.85015608740895</v>
      </c>
      <c r="Q206" s="4" t="inlineStr">
        <is>
          <t>L</t>
        </is>
      </c>
      <c r="R206" s="4" t="inlineStr">
        <is>
          <t>6 case → 2834.95 each</t>
        </is>
      </c>
    </row>
    <row r="207">
      <c r="A207" s="4" t="inlineStr">
        <is>
          <t>tonka beans</t>
        </is>
      </c>
      <c r="B207" s="4" t="inlineStr">
        <is>
          <t>DRY</t>
        </is>
      </c>
      <c r="C207" s="4" t="inlineStr">
        <is>
          <t>PREP-AREA</t>
        </is>
      </c>
      <c r="D207" s="4" t="inlineStr"/>
      <c r="E207" s="4" t="inlineStr">
        <is>
          <t>Physically counted 2026-08-01</t>
        </is>
      </c>
      <c r="F207" s="4" t="inlineStr">
        <is>
          <t>2026-08-01</t>
        </is>
      </c>
      <c r="G207" s="5" t="n">
        <v>0.206</v>
      </c>
      <c r="H207" s="4" t="inlineStr">
        <is>
          <t>kg</t>
        </is>
      </c>
      <c r="I207" s="5" t="n">
        <v>206</v>
      </c>
      <c r="J207" s="4" t="inlineStr">
        <is>
          <t>g</t>
        </is>
      </c>
      <c r="K207" s="6" t="n">
        <v>0.3541621621621621</v>
      </c>
      <c r="L207" s="6" t="n">
        <v>0.3541621621621621</v>
      </c>
      <c r="M207" s="7">
        <f>I207*K207</f>
        <v/>
      </c>
      <c r="N207" s="7">
        <f>I207*L207</f>
        <v/>
      </c>
      <c r="O207" s="7">
        <f>N207-M207</f>
        <v/>
      </c>
      <c r="P207" s="7" t="n">
        <v>354.1621621621621</v>
      </c>
      <c r="Q207" s="4" t="inlineStr">
        <is>
          <t>kg</t>
        </is>
      </c>
      <c r="R207" s="4" t="inlineStr">
        <is>
          <t>1 each → 185 each</t>
        </is>
      </c>
    </row>
    <row r="208">
      <c r="A208" s="4" t="inlineStr">
        <is>
          <t>transglutaminase</t>
        </is>
      </c>
      <c r="B208" s="4" t="inlineStr">
        <is>
          <t>DRY</t>
        </is>
      </c>
      <c r="C208" s="4" t="inlineStr">
        <is>
          <t>PREP-AREA</t>
        </is>
      </c>
      <c r="D208" s="4" t="inlineStr"/>
      <c r="E208" s="4" t="inlineStr">
        <is>
          <t>Physically counted 2026-08-01</t>
        </is>
      </c>
      <c r="F208" s="4" t="inlineStr">
        <is>
          <t>2026-08-01</t>
        </is>
      </c>
      <c r="G208" s="5" t="n">
        <v>0</v>
      </c>
      <c r="H208" s="4" t="inlineStr">
        <is>
          <t>kg</t>
        </is>
      </c>
      <c r="I208" s="5" t="n">
        <v>0</v>
      </c>
      <c r="J208" s="4" t="inlineStr">
        <is>
          <t>g</t>
        </is>
      </c>
      <c r="K208" s="6" t="n">
        <v>0.18947</v>
      </c>
      <c r="L208" s="6" t="n">
        <v>0.18947</v>
      </c>
      <c r="M208" s="7">
        <f>I208*K208</f>
        <v/>
      </c>
      <c r="N208" s="7">
        <f>I208*L208</f>
        <v/>
      </c>
      <c r="O208" s="7">
        <f>N208-M208</f>
        <v/>
      </c>
      <c r="P208" s="7" t="n">
        <v>189.47</v>
      </c>
      <c r="Q208" s="4" t="inlineStr">
        <is>
          <t>kg</t>
        </is>
      </c>
      <c r="R208" s="4" t="inlineStr">
        <is>
          <t>1 each → 1000 each</t>
        </is>
      </c>
    </row>
    <row r="209">
      <c r="A209" s="4" t="inlineStr">
        <is>
          <t>Truffle Paste</t>
        </is>
      </c>
      <c r="B209" s="4" t="inlineStr">
        <is>
          <t>DRY</t>
        </is>
      </c>
      <c r="C209" s="4" t="inlineStr">
        <is>
          <t>PREP-AREA</t>
        </is>
      </c>
      <c r="D209" s="4" t="inlineStr"/>
      <c r="E209" s="4" t="inlineStr">
        <is>
          <t>Physically counted 2026-08-01</t>
        </is>
      </c>
      <c r="F209" s="4" t="inlineStr">
        <is>
          <t>2026-08-01</t>
        </is>
      </c>
      <c r="G209" s="5" t="n">
        <v>0</v>
      </c>
      <c r="H209" s="4" t="inlineStr">
        <is>
          <t>kg</t>
        </is>
      </c>
      <c r="I209" s="5" t="n">
        <v>0</v>
      </c>
      <c r="J209" s="4" t="inlineStr">
        <is>
          <t>g</t>
        </is>
      </c>
      <c r="K209" s="6" t="n">
        <v>0.38192</v>
      </c>
      <c r="L209" s="6" t="n">
        <v>0.38192</v>
      </c>
      <c r="M209" s="7">
        <f>I209*K209</f>
        <v/>
      </c>
      <c r="N209" s="7">
        <f>I209*L209</f>
        <v/>
      </c>
      <c r="O209" s="7">
        <f>N209-M209</f>
        <v/>
      </c>
      <c r="P209" s="7" t="n">
        <v>381.92</v>
      </c>
      <c r="Q209" s="4" t="inlineStr">
        <is>
          <t>kg</t>
        </is>
      </c>
      <c r="R209" s="4" t="inlineStr">
        <is>
          <t>1 each → 500 each</t>
        </is>
      </c>
    </row>
    <row r="210">
      <c r="A210" s="4" t="inlineStr">
        <is>
          <t>Turmeric</t>
        </is>
      </c>
      <c r="B210" s="4" t="inlineStr">
        <is>
          <t>DRY</t>
        </is>
      </c>
      <c r="C210" s="4" t="inlineStr">
        <is>
          <t>PREP-AREA</t>
        </is>
      </c>
      <c r="D210" s="4" t="inlineStr"/>
      <c r="E210" s="4" t="inlineStr">
        <is>
          <t>Physically counted 2026-08-01</t>
        </is>
      </c>
      <c r="F210" s="4" t="inlineStr">
        <is>
          <t>2026-08-01</t>
        </is>
      </c>
      <c r="G210" s="5" t="n">
        <v>0.9</v>
      </c>
      <c r="H210" s="4" t="inlineStr">
        <is>
          <t>kg</t>
        </is>
      </c>
      <c r="I210" s="5" t="n">
        <v>900</v>
      </c>
      <c r="J210" s="4" t="inlineStr">
        <is>
          <t>g</t>
        </is>
      </c>
      <c r="K210" s="6" t="n">
        <v>0.0153</v>
      </c>
      <c r="L210" s="6" t="n">
        <v>0.0153</v>
      </c>
      <c r="M210" s="7">
        <f>I210*K210</f>
        <v/>
      </c>
      <c r="N210" s="7">
        <f>I210*L210</f>
        <v/>
      </c>
      <c r="O210" s="7">
        <f>N210-M210</f>
        <v/>
      </c>
      <c r="P210" s="7" t="n">
        <v>15.3</v>
      </c>
      <c r="Q210" s="4" t="inlineStr">
        <is>
          <t>kg</t>
        </is>
      </c>
      <c r="R210" s="4" t="inlineStr">
        <is>
          <t>1000 jug</t>
        </is>
      </c>
    </row>
    <row r="211">
      <c r="A211" s="4" t="inlineStr">
        <is>
          <t>Vanilla Bean</t>
        </is>
      </c>
      <c r="B211" s="4" t="inlineStr">
        <is>
          <t>DRY</t>
        </is>
      </c>
      <c r="C211" s="4" t="inlineStr">
        <is>
          <t>PREP-AREA</t>
        </is>
      </c>
      <c r="D211" s="4" t="inlineStr"/>
      <c r="E211" s="4" t="inlineStr">
        <is>
          <t>Physically counted 2026-08-01</t>
        </is>
      </c>
      <c r="F211" s="4" t="inlineStr">
        <is>
          <t>2026-08-01</t>
        </is>
      </c>
      <c r="G211" s="5" t="n">
        <v>1.2</v>
      </c>
      <c r="H211" s="4" t="inlineStr">
        <is>
          <t>each</t>
        </is>
      </c>
      <c r="I211" s="5" t="n">
        <v>270</v>
      </c>
      <c r="J211" s="4" t="inlineStr">
        <is>
          <t>g</t>
        </is>
      </c>
      <c r="K211" s="6" t="n">
        <v>0.5996444444444444</v>
      </c>
      <c r="L211" s="6" t="n">
        <v>0.5996444444444444</v>
      </c>
      <c r="M211" s="7">
        <f>I211*K211</f>
        <v/>
      </c>
      <c r="N211" s="7">
        <f>I211*L211</f>
        <v/>
      </c>
      <c r="O211" s="7">
        <f>N211-M211</f>
        <v/>
      </c>
      <c r="P211" s="7" t="n">
        <v>599.6444444444444</v>
      </c>
      <c r="Q211" s="4" t="inlineStr">
        <is>
          <t>kg</t>
        </is>
      </c>
      <c r="R211" s="4" t="inlineStr">
        <is>
          <t>1 case → 225 each</t>
        </is>
      </c>
    </row>
    <row r="212">
      <c r="A212" s="4" t="inlineStr">
        <is>
          <t>Vanilla extract</t>
        </is>
      </c>
      <c r="B212" s="4" t="inlineStr">
        <is>
          <t>DRY</t>
        </is>
      </c>
      <c r="C212" s="4" t="inlineStr">
        <is>
          <t>PREP-AREA</t>
        </is>
      </c>
      <c r="D212" s="4" t="inlineStr">
        <is>
          <t>Sysco</t>
        </is>
      </c>
      <c r="E212" s="4" t="inlineStr">
        <is>
          <t>Physically counted 2026-08-01</t>
        </is>
      </c>
      <c r="F212" s="4" t="inlineStr">
        <is>
          <t>2026-08-01</t>
        </is>
      </c>
      <c r="G212" s="5" t="n">
        <v>0</v>
      </c>
      <c r="H212" s="4" t="inlineStr">
        <is>
          <t>l</t>
        </is>
      </c>
      <c r="I212" s="5" t="n">
        <v>0</v>
      </c>
      <c r="J212" s="4" t="inlineStr">
        <is>
          <t>ml</t>
        </is>
      </c>
      <c r="K212" s="6" t="n">
        <v>0.007251875</v>
      </c>
      <c r="L212" s="6" t="n">
        <v>0.008555</v>
      </c>
      <c r="M212" s="7">
        <f>I212*K212</f>
        <v/>
      </c>
      <c r="N212" s="7">
        <f>I212*L212</f>
        <v/>
      </c>
      <c r="O212" s="7">
        <f>N212-M212</f>
        <v/>
      </c>
      <c r="P212" s="7" t="n">
        <v>8.555</v>
      </c>
      <c r="Q212" s="4" t="inlineStr">
        <is>
          <t>L</t>
        </is>
      </c>
      <c r="R212" s="4" t="inlineStr">
        <is>
          <t>4 jug → 4000 each</t>
        </is>
      </c>
    </row>
    <row r="213">
      <c r="A213" s="4" t="inlineStr">
        <is>
          <t>Vinegar apple cider</t>
        </is>
      </c>
      <c r="B213" s="4" t="inlineStr">
        <is>
          <t>DRY</t>
        </is>
      </c>
      <c r="C213" s="4" t="inlineStr">
        <is>
          <t>PREP-AREA</t>
        </is>
      </c>
      <c r="D213" s="4" t="inlineStr">
        <is>
          <t>Sysco</t>
        </is>
      </c>
      <c r="E213" s="4" t="inlineStr">
        <is>
          <t>Physically counted 2026-08-01</t>
        </is>
      </c>
      <c r="F213" s="4" t="inlineStr">
        <is>
          <t>2026-08-01</t>
        </is>
      </c>
      <c r="G213" s="5" t="n">
        <v>2</v>
      </c>
      <c r="H213" s="4" t="inlineStr">
        <is>
          <t>case</t>
        </is>
      </c>
      <c r="I213" s="5" t="n">
        <v>48000</v>
      </c>
      <c r="J213" s="4" t="inlineStr">
        <is>
          <t>ml</t>
        </is>
      </c>
      <c r="K213" s="6" t="n">
        <v>0.0023025</v>
      </c>
      <c r="L213" s="6" t="n">
        <v>0.0023025</v>
      </c>
      <c r="M213" s="7">
        <f>I213*K213</f>
        <v/>
      </c>
      <c r="N213" s="7">
        <f>I213*L213</f>
        <v/>
      </c>
      <c r="O213" s="7">
        <f>N213-M213</f>
        <v/>
      </c>
      <c r="P213" s="7" t="n">
        <v>2.3025</v>
      </c>
      <c r="Q213" s="4" t="inlineStr">
        <is>
          <t>L</t>
        </is>
      </c>
      <c r="R213" s="4" t="inlineStr">
        <is>
          <t>6 case → 4000 each</t>
        </is>
      </c>
    </row>
    <row r="214">
      <c r="A214" s="4" t="inlineStr">
        <is>
          <t>Vinegar pure white</t>
        </is>
      </c>
      <c r="B214" s="4" t="inlineStr">
        <is>
          <t>DRY</t>
        </is>
      </c>
      <c r="C214" s="4" t="inlineStr"/>
      <c r="D214" s="4" t="inlineStr">
        <is>
          <t>Sysco</t>
        </is>
      </c>
      <c r="E214" s="4" t="inlineStr">
        <is>
          <t>Physically counted 2026-08-01</t>
        </is>
      </c>
      <c r="F214" s="4" t="inlineStr">
        <is>
          <t>2026-08-01</t>
        </is>
      </c>
      <c r="G214" s="5" t="n">
        <v>7</v>
      </c>
      <c r="H214" s="4" t="inlineStr">
        <is>
          <t>each</t>
        </is>
      </c>
      <c r="I214" s="5" t="n">
        <v>35000</v>
      </c>
      <c r="J214" s="4" t="inlineStr">
        <is>
          <t>ml</t>
        </is>
      </c>
      <c r="K214" s="6" t="n">
        <v>0.001674</v>
      </c>
      <c r="L214" s="6" t="n">
        <v>0.001674</v>
      </c>
      <c r="M214" s="7">
        <f>I214*K214</f>
        <v/>
      </c>
      <c r="N214" s="7">
        <f>I214*L214</f>
        <v/>
      </c>
      <c r="O214" s="7">
        <f>N214-M214</f>
        <v/>
      </c>
      <c r="P214" s="7" t="n">
        <v>1.674</v>
      </c>
      <c r="Q214" s="4" t="inlineStr">
        <is>
          <t>L</t>
        </is>
      </c>
      <c r="R214" s="4" t="inlineStr">
        <is>
          <t>4 case → 5000 each</t>
        </is>
      </c>
    </row>
    <row r="215">
      <c r="A215" s="4" t="inlineStr">
        <is>
          <t>Vinegar Red Wine</t>
        </is>
      </c>
      <c r="B215" s="4" t="inlineStr">
        <is>
          <t>DRY</t>
        </is>
      </c>
      <c r="C215" s="4" t="inlineStr">
        <is>
          <t>PREP-AREA</t>
        </is>
      </c>
      <c r="D215" s="4" t="inlineStr">
        <is>
          <t>Sysco</t>
        </is>
      </c>
      <c r="E215" s="4" t="inlineStr">
        <is>
          <t>Physically counted 2026-08-01</t>
        </is>
      </c>
      <c r="F215" s="4" t="inlineStr">
        <is>
          <t>2026-08-01</t>
        </is>
      </c>
      <c r="G215" s="5" t="n">
        <v>3</v>
      </c>
      <c r="H215" s="4" t="inlineStr">
        <is>
          <t>each</t>
        </is>
      </c>
      <c r="I215" s="5" t="n">
        <v>15000</v>
      </c>
      <c r="J215" s="4" t="inlineStr">
        <is>
          <t>ml</t>
        </is>
      </c>
      <c r="K215" s="6" t="n">
        <v>0.001702</v>
      </c>
      <c r="L215" s="6" t="n">
        <v>0.001702</v>
      </c>
      <c r="M215" s="7">
        <f>I215*K215</f>
        <v/>
      </c>
      <c r="N215" s="7">
        <f>I215*L215</f>
        <v/>
      </c>
      <c r="O215" s="7">
        <f>N215-M215</f>
        <v/>
      </c>
      <c r="P215" s="7" t="n">
        <v>1.702</v>
      </c>
      <c r="Q215" s="4" t="inlineStr">
        <is>
          <t>L</t>
        </is>
      </c>
      <c r="R215" s="4" t="inlineStr">
        <is>
          <t>2 case → 5000 each</t>
        </is>
      </c>
    </row>
    <row r="216">
      <c r="A216" s="4" t="inlineStr">
        <is>
          <t>Vinegar White Wine</t>
        </is>
      </c>
      <c r="B216" s="4" t="inlineStr">
        <is>
          <t>DRY</t>
        </is>
      </c>
      <c r="C216" s="4" t="inlineStr">
        <is>
          <t>PREP-AREA</t>
        </is>
      </c>
      <c r="D216" s="4" t="inlineStr">
        <is>
          <t>Sysco</t>
        </is>
      </c>
      <c r="E216" s="4" t="inlineStr">
        <is>
          <t>Physically counted 2026-08-01</t>
        </is>
      </c>
      <c r="F216" s="4" t="inlineStr">
        <is>
          <t>2026-08-01</t>
        </is>
      </c>
      <c r="G216" s="5" t="n">
        <v>0</v>
      </c>
      <c r="H216" s="4" t="inlineStr">
        <is>
          <t>ml</t>
        </is>
      </c>
      <c r="I216" s="5" t="n">
        <v>0</v>
      </c>
      <c r="J216" s="4" t="inlineStr">
        <is>
          <t>ml</t>
        </is>
      </c>
      <c r="K216" s="6" t="n">
        <v>0.003382</v>
      </c>
      <c r="L216" s="6" t="n">
        <v>0.003382</v>
      </c>
      <c r="M216" s="7">
        <f>I216*K216</f>
        <v/>
      </c>
      <c r="N216" s="7">
        <f>I216*L216</f>
        <v/>
      </c>
      <c r="O216" s="7">
        <f>N216-M216</f>
        <v/>
      </c>
      <c r="P216" s="7" t="n">
        <v>3.382</v>
      </c>
      <c r="Q216" s="4" t="inlineStr">
        <is>
          <t>L</t>
        </is>
      </c>
      <c r="R216" s="4" t="inlineStr">
        <is>
          <t>2 case → 5000 each</t>
        </is>
      </c>
    </row>
    <row r="217">
      <c r="A217" s="4" t="inlineStr">
        <is>
          <t>Walnuts</t>
        </is>
      </c>
      <c r="B217" s="4" t="inlineStr">
        <is>
          <t>DRY</t>
        </is>
      </c>
      <c r="C217" s="4" t="inlineStr"/>
      <c r="D217" s="4" t="inlineStr"/>
      <c r="E217" s="4" t="inlineStr">
        <is>
          <t>Physically counted 2026-08-01</t>
        </is>
      </c>
      <c r="F217" s="4" t="inlineStr">
        <is>
          <t>2026-08-01</t>
        </is>
      </c>
      <c r="G217" s="5" t="n">
        <v>0</v>
      </c>
      <c r="H217" s="4" t="inlineStr">
        <is>
          <t>kg</t>
        </is>
      </c>
      <c r="I217" s="5" t="n">
        <v>0</v>
      </c>
      <c r="J217" s="4" t="inlineStr">
        <is>
          <t>g</t>
        </is>
      </c>
      <c r="K217" s="6" t="n">
        <v>0.014912</v>
      </c>
      <c r="L217" s="6" t="n">
        <v>0.014912</v>
      </c>
      <c r="M217" s="7">
        <f>I217*K217</f>
        <v/>
      </c>
      <c r="N217" s="7">
        <f>I217*L217</f>
        <v/>
      </c>
      <c r="O217" s="7">
        <f>N217-M217</f>
        <v/>
      </c>
      <c r="P217" s="7" t="n">
        <v>14.912</v>
      </c>
      <c r="Q217" s="4" t="inlineStr">
        <is>
          <t>kg</t>
        </is>
      </c>
      <c r="R217" s="4" t="inlineStr">
        <is>
          <t>1 each → 5000 each</t>
        </is>
      </c>
    </row>
    <row r="218">
      <c r="A218" s="4" t="inlineStr">
        <is>
          <t>White Wine Cooking</t>
        </is>
      </c>
      <c r="B218" s="4" t="inlineStr">
        <is>
          <t>DRY</t>
        </is>
      </c>
      <c r="C218" s="4" t="inlineStr"/>
      <c r="D218" s="4" t="inlineStr">
        <is>
          <t>Sysco</t>
        </is>
      </c>
      <c r="E218" s="4" t="inlineStr">
        <is>
          <t>Physically counted 2026-08-01</t>
        </is>
      </c>
      <c r="F218" s="4" t="inlineStr">
        <is>
          <t>2026-08-01</t>
        </is>
      </c>
      <c r="G218" s="5" t="n">
        <v>0</v>
      </c>
      <c r="H218" s="4" t="inlineStr">
        <is>
          <t>l</t>
        </is>
      </c>
      <c r="I218" s="5" t="n">
        <v>0</v>
      </c>
      <c r="J218" s="4" t="inlineStr">
        <is>
          <t>ml</t>
        </is>
      </c>
      <c r="K218" s="6" t="n">
        <v>0.006161375661375661</v>
      </c>
      <c r="L218" s="6" t="n">
        <v>0.006161375661375661</v>
      </c>
      <c r="M218" s="7">
        <f>I218*K218</f>
        <v/>
      </c>
      <c r="N218" s="7">
        <f>I218*L218</f>
        <v/>
      </c>
      <c r="O218" s="7">
        <f>N218-M218</f>
        <v/>
      </c>
      <c r="P218" s="7" t="n">
        <v>6.161375661375661</v>
      </c>
      <c r="Q218" s="4" t="inlineStr">
        <is>
          <t>L</t>
        </is>
      </c>
      <c r="R218" s="4" t="inlineStr">
        <is>
          <t>4 case → 3780 each</t>
        </is>
      </c>
    </row>
    <row r="219">
      <c r="A219" s="4" t="inlineStr">
        <is>
          <t>Whole Cloves</t>
        </is>
      </c>
      <c r="B219" s="4" t="inlineStr">
        <is>
          <t>DRY</t>
        </is>
      </c>
      <c r="C219" s="4" t="inlineStr"/>
      <c r="D219" s="4" t="inlineStr"/>
      <c r="E219" s="4" t="inlineStr">
        <is>
          <t>Physically counted 2026-08-01</t>
        </is>
      </c>
      <c r="F219" s="4" t="inlineStr">
        <is>
          <t>2026-08-01</t>
        </is>
      </c>
      <c r="G219" s="5" t="n">
        <v>0.8</v>
      </c>
      <c r="H219" s="4" t="inlineStr">
        <is>
          <t>each</t>
        </is>
      </c>
      <c r="I219" s="5" t="n">
        <v>300</v>
      </c>
      <c r="J219" s="4" t="inlineStr">
        <is>
          <t>g</t>
        </is>
      </c>
      <c r="K219" s="6" t="n">
        <v>0.1244266666666667</v>
      </c>
      <c r="L219" s="6" t="n">
        <v>0.1244266666666667</v>
      </c>
      <c r="M219" s="7">
        <f>I219*K219</f>
        <v/>
      </c>
      <c r="N219" s="7">
        <f>I219*L219</f>
        <v/>
      </c>
      <c r="O219" s="7">
        <f>N219-M219</f>
        <v/>
      </c>
      <c r="P219" s="7" t="n">
        <v>124.4266666666667</v>
      </c>
      <c r="Q219" s="4" t="inlineStr">
        <is>
          <t>kg</t>
        </is>
      </c>
      <c r="R219" s="4" t="inlineStr">
        <is>
          <t>1 each → 375 each</t>
        </is>
      </c>
    </row>
    <row r="220">
      <c r="A220" s="4" t="inlineStr">
        <is>
          <t>Whole Wheat Flour</t>
        </is>
      </c>
      <c r="B220" s="4" t="inlineStr">
        <is>
          <t>DRY</t>
        </is>
      </c>
      <c r="C220" s="4" t="inlineStr"/>
      <c r="D220" s="4" t="inlineStr">
        <is>
          <t>Snow Cap</t>
        </is>
      </c>
      <c r="E220" s="4" t="inlineStr">
        <is>
          <t>Physically counted 2026-08-01</t>
        </is>
      </c>
      <c r="F220" s="4" t="inlineStr">
        <is>
          <t>2026-08-01</t>
        </is>
      </c>
      <c r="G220" s="5" t="n">
        <v>0</v>
      </c>
      <c r="H220" s="4" t="inlineStr">
        <is>
          <t>case</t>
        </is>
      </c>
      <c r="I220" s="5" t="n">
        <v>0</v>
      </c>
      <c r="J220" s="4" t="inlineStr">
        <is>
          <t>g</t>
        </is>
      </c>
      <c r="K220" s="6" t="n">
        <v>0.001227</v>
      </c>
      <c r="L220" s="6" t="n">
        <v>0.001227</v>
      </c>
      <c r="M220" s="7">
        <f>I220*K220</f>
        <v/>
      </c>
      <c r="N220" s="7">
        <f>I220*L220</f>
        <v/>
      </c>
      <c r="O220" s="7">
        <f>N220-M220</f>
        <v/>
      </c>
      <c r="P220" s="7" t="n">
        <v>1.227</v>
      </c>
      <c r="Q220" s="4" t="inlineStr">
        <is>
          <t>kg</t>
        </is>
      </c>
      <c r="R220" s="4" t="inlineStr">
        <is>
          <t>1 case → 20000 each</t>
        </is>
      </c>
    </row>
    <row r="221">
      <c r="A221" s="4" t="inlineStr">
        <is>
          <t>Wild rice</t>
        </is>
      </c>
      <c r="B221" s="4" t="inlineStr">
        <is>
          <t>DRY</t>
        </is>
      </c>
      <c r="C221" s="4" t="inlineStr">
        <is>
          <t>SATELITE</t>
        </is>
      </c>
      <c r="D221" s="4" t="inlineStr">
        <is>
          <t>Sysco</t>
        </is>
      </c>
      <c r="E221" s="4" t="inlineStr">
        <is>
          <t>Physically counted 2026-08-01</t>
        </is>
      </c>
      <c r="F221" s="4" t="inlineStr">
        <is>
          <t>2026-08-01</t>
        </is>
      </c>
      <c r="G221" s="5" t="n">
        <v>0.3920704845814978</v>
      </c>
      <c r="H221" s="4" t="inlineStr">
        <is>
          <t>each</t>
        </is>
      </c>
      <c r="I221" s="5" t="n">
        <v>890</v>
      </c>
      <c r="J221" s="4" t="inlineStr">
        <is>
          <t>g</t>
        </is>
      </c>
      <c r="K221" s="6" t="n">
        <v>0.02433259911894273</v>
      </c>
      <c r="L221" s="6" t="n">
        <v>0.02433259911894273</v>
      </c>
      <c r="M221" s="7">
        <f>I221*K221</f>
        <v/>
      </c>
      <c r="N221" s="7">
        <f>I221*L221</f>
        <v/>
      </c>
      <c r="O221" s="7">
        <f>N221-M221</f>
        <v/>
      </c>
      <c r="P221" s="7" t="n">
        <v>24.33259911894273</v>
      </c>
      <c r="Q221" s="4" t="inlineStr">
        <is>
          <t>kg</t>
        </is>
      </c>
      <c r="R221" s="4" t="inlineStr">
        <is>
          <t>2 case → 2270 each</t>
        </is>
      </c>
    </row>
    <row r="222">
      <c r="A222" s="4" t="inlineStr">
        <is>
          <t>Wine Red Cooking</t>
        </is>
      </c>
      <c r="B222" s="4" t="inlineStr">
        <is>
          <t>DRY</t>
        </is>
      </c>
      <c r="C222" s="4" t="inlineStr"/>
      <c r="D222" s="4" t="inlineStr"/>
      <c r="E222" s="4" t="inlineStr">
        <is>
          <t>Physically counted 2026-08-01</t>
        </is>
      </c>
      <c r="F222" s="4" t="inlineStr">
        <is>
          <t>2026-08-01</t>
        </is>
      </c>
      <c r="G222" s="5" t="n">
        <v>0</v>
      </c>
      <c r="H222" s="4" t="inlineStr">
        <is>
          <t>l</t>
        </is>
      </c>
      <c r="I222" s="5" t="n">
        <v>0</v>
      </c>
      <c r="J222" s="4" t="inlineStr">
        <is>
          <t>ml</t>
        </is>
      </c>
      <c r="K222" s="6" t="n">
        <v>0.006912698412698412</v>
      </c>
      <c r="L222" s="6" t="n">
        <v>0.006912698412698412</v>
      </c>
      <c r="M222" s="7">
        <f>I222*K222</f>
        <v/>
      </c>
      <c r="N222" s="7">
        <f>I222*L222</f>
        <v/>
      </c>
      <c r="O222" s="7">
        <f>N222-M222</f>
        <v/>
      </c>
      <c r="P222" s="7" t="n">
        <v>6.912698412698412</v>
      </c>
      <c r="Q222" s="4" t="inlineStr">
        <is>
          <t>L</t>
        </is>
      </c>
      <c r="R222" s="4" t="inlineStr">
        <is>
          <t>1 each → 3780 each</t>
        </is>
      </c>
    </row>
    <row r="223">
      <c r="A223" s="4" t="inlineStr">
        <is>
          <t>Worcestershire Sauce</t>
        </is>
      </c>
      <c r="B223" s="4" t="inlineStr">
        <is>
          <t>DRY</t>
        </is>
      </c>
      <c r="C223" s="4" t="inlineStr">
        <is>
          <t>PREP-AREA</t>
        </is>
      </c>
      <c r="D223" s="4" t="inlineStr">
        <is>
          <t>Sysco</t>
        </is>
      </c>
      <c r="E223" s="4" t="inlineStr">
        <is>
          <t>Physically counted 2026-08-01</t>
        </is>
      </c>
      <c r="F223" s="4" t="inlineStr">
        <is>
          <t>2026-08-01</t>
        </is>
      </c>
      <c r="G223" s="5" t="n">
        <v>1</v>
      </c>
      <c r="H223" s="4" t="inlineStr">
        <is>
          <t>each</t>
        </is>
      </c>
      <c r="I223" s="5" t="n">
        <v>3780</v>
      </c>
      <c r="J223" s="4" t="inlineStr">
        <is>
          <t>ml</t>
        </is>
      </c>
      <c r="K223" s="6" t="n">
        <v>0.004197089947089947</v>
      </c>
      <c r="L223" s="6" t="n">
        <v>0.004197089947089947</v>
      </c>
      <c r="M223" s="7">
        <f>I223*K223</f>
        <v/>
      </c>
      <c r="N223" s="7">
        <f>I223*L223</f>
        <v/>
      </c>
      <c r="O223" s="7">
        <f>N223-M223</f>
        <v/>
      </c>
      <c r="P223" s="7" t="n">
        <v>4.197089947089948</v>
      </c>
      <c r="Q223" s="4" t="inlineStr">
        <is>
          <t>L</t>
        </is>
      </c>
      <c r="R223" s="4" t="inlineStr">
        <is>
          <t>2 case → 3780 each</t>
        </is>
      </c>
    </row>
    <row r="224">
      <c r="A224" s="4" t="inlineStr">
        <is>
          <t>Yeast Active Dry</t>
        </is>
      </c>
      <c r="B224" s="4" t="inlineStr">
        <is>
          <t>DRY</t>
        </is>
      </c>
      <c r="C224" s="4" t="inlineStr">
        <is>
          <t>FRIDGE</t>
        </is>
      </c>
      <c r="D224" s="4" t="inlineStr">
        <is>
          <t>Snow Cap</t>
        </is>
      </c>
      <c r="E224" s="4" t="inlineStr">
        <is>
          <t>Physically counted 2026-08-01</t>
        </is>
      </c>
      <c r="F224" s="4" t="inlineStr">
        <is>
          <t>2026-08-01</t>
        </is>
      </c>
      <c r="G224" s="5" t="n">
        <v>2</v>
      </c>
      <c r="H224" s="4" t="inlineStr">
        <is>
          <t>each</t>
        </is>
      </c>
      <c r="I224" s="5" t="n">
        <v>1814.368</v>
      </c>
      <c r="J224" s="4" t="inlineStr">
        <is>
          <t>g</t>
        </is>
      </c>
      <c r="K224" s="6" t="n">
        <v>0.01300728407908429</v>
      </c>
      <c r="L224" s="6" t="n">
        <v>0.0166338912502866</v>
      </c>
      <c r="M224" s="7">
        <f>I224*K224</f>
        <v/>
      </c>
      <c r="N224" s="7">
        <f>I224*L224</f>
        <v/>
      </c>
      <c r="O224" s="7">
        <f>N224-M224</f>
        <v/>
      </c>
      <c r="P224" s="7" t="n">
        <v>16.6338912502866</v>
      </c>
      <c r="Q224" s="4" t="inlineStr">
        <is>
          <t>kg</t>
        </is>
      </c>
      <c r="R224" s="4" t="inlineStr">
        <is>
          <t>1 case → 907.184 each</t>
        </is>
      </c>
    </row>
    <row r="225">
      <c r="A225" s="4" t="inlineStr">
        <is>
          <t>Yuzu juice</t>
        </is>
      </c>
      <c r="B225" s="4" t="inlineStr">
        <is>
          <t>DRY</t>
        </is>
      </c>
      <c r="C225" s="4" t="inlineStr"/>
      <c r="D225" s="4" t="inlineStr"/>
      <c r="E225" s="4" t="inlineStr">
        <is>
          <t>Physically counted 2026-08-01</t>
        </is>
      </c>
      <c r="F225" s="4" t="inlineStr">
        <is>
          <t>2026-08-01</t>
        </is>
      </c>
      <c r="G225" s="5" t="n">
        <v>0</v>
      </c>
      <c r="H225" s="4" t="inlineStr">
        <is>
          <t>ml</t>
        </is>
      </c>
      <c r="I225" s="5" t="n">
        <v>0</v>
      </c>
      <c r="J225" s="4" t="inlineStr">
        <is>
          <t>ml</t>
        </is>
      </c>
      <c r="K225" s="6" t="n">
        <v>0</v>
      </c>
      <c r="L225" s="6" t="n">
        <v>0</v>
      </c>
      <c r="M225" s="7">
        <f>I225*K225</f>
        <v/>
      </c>
      <c r="N225" s="7">
        <f>I225*L225</f>
        <v/>
      </c>
      <c r="O225" s="7">
        <f>N225-M225</f>
        <v/>
      </c>
      <c r="P225" s="7" t="n">
        <v>0</v>
      </c>
      <c r="Q225" s="4" t="inlineStr">
        <is>
          <t>L</t>
        </is>
      </c>
      <c r="R225" s="4" t="inlineStr">
        <is>
          <t>1 each → 1 each</t>
        </is>
      </c>
    </row>
    <row r="226">
      <c r="A226" s="4" t="inlineStr">
        <is>
          <t>Albacore tuna</t>
        </is>
      </c>
      <c r="B226" s="4" t="inlineStr">
        <is>
          <t>FISH</t>
        </is>
      </c>
      <c r="C226" s="4" t="inlineStr">
        <is>
          <t>FREEZER</t>
        </is>
      </c>
      <c r="D226" s="4" t="inlineStr">
        <is>
          <t>Intercity</t>
        </is>
      </c>
      <c r="E226" s="4" t="inlineStr">
        <is>
          <t>Physically counted 2026-08-01</t>
        </is>
      </c>
      <c r="F226" s="4" t="inlineStr">
        <is>
          <t>2026-08-01</t>
        </is>
      </c>
      <c r="G226" s="5" t="n">
        <v>0</v>
      </c>
      <c r="H226" s="4" t="inlineStr">
        <is>
          <t>lb</t>
        </is>
      </c>
      <c r="I226" s="5" t="n">
        <v>0</v>
      </c>
      <c r="J226" s="4" t="inlineStr">
        <is>
          <t>g</t>
        </is>
      </c>
      <c r="K226" s="6" t="n">
        <v>0.04387202596165717</v>
      </c>
      <c r="L226" s="6" t="n">
        <v>0.04387202596165717</v>
      </c>
      <c r="M226" s="7">
        <f>I226*K226</f>
        <v/>
      </c>
      <c r="N226" s="7">
        <f>I226*L226</f>
        <v/>
      </c>
      <c r="O226" s="7">
        <f>N226-M226</f>
        <v/>
      </c>
      <c r="P226" s="7" t="n">
        <v>43.87202596165717</v>
      </c>
      <c r="Q226" s="4" t="inlineStr">
        <is>
          <t>kg</t>
        </is>
      </c>
      <c r="R226" s="4" t="inlineStr">
        <is>
          <t>4535.92 case</t>
        </is>
      </c>
    </row>
    <row r="227">
      <c r="A227" s="4" t="inlineStr">
        <is>
          <t>Cod</t>
        </is>
      </c>
      <c r="B227" s="4" t="inlineStr">
        <is>
          <t>FISH</t>
        </is>
      </c>
      <c r="C227" s="4" t="inlineStr">
        <is>
          <t>FREEZER</t>
        </is>
      </c>
      <c r="D227" s="4" t="inlineStr"/>
      <c r="E227" s="4" t="inlineStr">
        <is>
          <t>Physically counted 2026-08-01</t>
        </is>
      </c>
      <c r="F227" s="4" t="inlineStr">
        <is>
          <t>2026-08-01</t>
        </is>
      </c>
      <c r="G227" s="5" t="n">
        <v>0</v>
      </c>
      <c r="H227" s="4" t="inlineStr">
        <is>
          <t>kg</t>
        </is>
      </c>
      <c r="I227" s="5" t="n">
        <v>0</v>
      </c>
      <c r="J227" s="4" t="inlineStr">
        <is>
          <t>g</t>
        </is>
      </c>
      <c r="K227" s="6" t="n">
        <v>0.03064427944055451</v>
      </c>
      <c r="L227" s="6" t="n">
        <v>0.03064427944055451</v>
      </c>
      <c r="M227" s="7">
        <f>I227*K227</f>
        <v/>
      </c>
      <c r="N227" s="7">
        <f>I227*L227</f>
        <v/>
      </c>
      <c r="O227" s="7">
        <f>N227-M227</f>
        <v/>
      </c>
      <c r="P227" s="7" t="n">
        <v>30.64427944055451</v>
      </c>
      <c r="Q227" s="4" t="inlineStr">
        <is>
          <t>kg</t>
        </is>
      </c>
      <c r="R227" s="4" t="inlineStr">
        <is>
          <t>1 each → 1000 each</t>
        </is>
      </c>
    </row>
    <row r="228">
      <c r="A228" s="4" t="inlineStr">
        <is>
          <t>OYSTER N/SHELL ROYAL MIYAGI XSM</t>
        </is>
      </c>
      <c r="B228" s="4" t="inlineStr">
        <is>
          <t>FISH</t>
        </is>
      </c>
      <c r="C228" s="4" t="inlineStr"/>
      <c r="D228" s="4" t="inlineStr">
        <is>
          <t>Intercity</t>
        </is>
      </c>
      <c r="E228" s="4" t="inlineStr">
        <is>
          <t>Physically counted 2026-08-01</t>
        </is>
      </c>
      <c r="F228" s="4" t="inlineStr">
        <is>
          <t>2026-08-01</t>
        </is>
      </c>
      <c r="G228" s="5" t="n">
        <v>0</v>
      </c>
      <c r="H228" s="4" t="inlineStr">
        <is>
          <t>each</t>
        </is>
      </c>
      <c r="I228" s="5" t="n">
        <v>0</v>
      </c>
      <c r="J228" s="4" t="inlineStr">
        <is>
          <t>each</t>
        </is>
      </c>
      <c r="K228" s="6" t="n">
        <v>0.8208333333333333</v>
      </c>
      <c r="L228" s="6" t="n">
        <v>0.8208333333333333</v>
      </c>
      <c r="M228" s="7">
        <f>I228*K228</f>
        <v/>
      </c>
      <c r="N228" s="7">
        <f>I228*L228</f>
        <v/>
      </c>
      <c r="O228" s="7">
        <f>N228-M228</f>
        <v/>
      </c>
      <c r="P228" s="7" t="n">
        <v>0.8208333333333333</v>
      </c>
      <c r="Q228" s="4" t="inlineStr">
        <is>
          <t>each</t>
        </is>
      </c>
      <c r="R228" s="4" t="inlineStr">
        <is>
          <t>12 DZ</t>
        </is>
      </c>
    </row>
    <row r="229">
      <c r="A229" s="4" t="inlineStr">
        <is>
          <t>Oysters Kusshi</t>
        </is>
      </c>
      <c r="B229" s="4" t="inlineStr">
        <is>
          <t>FISH</t>
        </is>
      </c>
      <c r="C229" s="4" t="inlineStr">
        <is>
          <t>CATERING</t>
        </is>
      </c>
      <c r="D229" s="4" t="inlineStr">
        <is>
          <t>Intercity</t>
        </is>
      </c>
      <c r="E229" s="4" t="inlineStr">
        <is>
          <t>Physically counted 2026-08-01</t>
        </is>
      </c>
      <c r="F229" s="4" t="inlineStr">
        <is>
          <t>2026-08-01</t>
        </is>
      </c>
      <c r="G229" s="5" t="n">
        <v>0</v>
      </c>
      <c r="H229" s="4" t="inlineStr">
        <is>
          <t>case</t>
        </is>
      </c>
      <c r="I229" s="5" t="n">
        <v>0</v>
      </c>
      <c r="J229" s="4" t="inlineStr">
        <is>
          <t>each</t>
        </is>
      </c>
      <c r="K229" s="6" t="n">
        <v>0.1981666666666667</v>
      </c>
      <c r="L229" s="6" t="n">
        <v>0.1981666666666667</v>
      </c>
      <c r="M229" s="7">
        <f>I229*K229</f>
        <v/>
      </c>
      <c r="N229" s="7">
        <f>I229*L229</f>
        <v/>
      </c>
      <c r="O229" s="7">
        <f>N229-M229</f>
        <v/>
      </c>
      <c r="P229" s="7" t="n">
        <v>0.1981666666666667</v>
      </c>
      <c r="Q229" s="4" t="inlineStr">
        <is>
          <t>each</t>
        </is>
      </c>
      <c r="R229" s="4" t="inlineStr">
        <is>
          <t>5 case → 12 each</t>
        </is>
      </c>
    </row>
    <row r="230">
      <c r="A230" s="4" t="inlineStr">
        <is>
          <t>Pacific Halibut</t>
        </is>
      </c>
      <c r="B230" s="4" t="inlineStr">
        <is>
          <t>FISH</t>
        </is>
      </c>
      <c r="C230" s="4" t="inlineStr"/>
      <c r="D230" s="4" t="inlineStr">
        <is>
          <t>Two Rivers</t>
        </is>
      </c>
      <c r="E230" s="4" t="inlineStr">
        <is>
          <t>Physically counted 2026-08-01</t>
        </is>
      </c>
      <c r="F230" s="4" t="inlineStr">
        <is>
          <t>2026-08-01</t>
        </is>
      </c>
      <c r="G230" s="5" t="n">
        <v>0</v>
      </c>
      <c r="H230" s="4" t="inlineStr">
        <is>
          <t>kg</t>
        </is>
      </c>
      <c r="I230" s="5" t="n">
        <v>0</v>
      </c>
      <c r="J230" s="4" t="inlineStr">
        <is>
          <t>g</t>
        </is>
      </c>
      <c r="K230" s="6" t="n">
        <v>0.038</v>
      </c>
      <c r="L230" s="6" t="n">
        <v>0.038</v>
      </c>
      <c r="M230" s="7">
        <f>I230*K230</f>
        <v/>
      </c>
      <c r="N230" s="7">
        <f>I230*L230</f>
        <v/>
      </c>
      <c r="O230" s="7">
        <f>N230-M230</f>
        <v/>
      </c>
      <c r="P230" s="7" t="n">
        <v>38</v>
      </c>
      <c r="Q230" s="4" t="inlineStr">
        <is>
          <t>kg</t>
        </is>
      </c>
      <c r="R230" s="4" t="inlineStr">
        <is>
          <t>1000 each</t>
        </is>
      </c>
    </row>
    <row r="231">
      <c r="A231" s="4" t="inlineStr">
        <is>
          <t>Salmon</t>
        </is>
      </c>
      <c r="B231" s="4" t="inlineStr">
        <is>
          <t>FISH</t>
        </is>
      </c>
      <c r="C231" s="4" t="inlineStr">
        <is>
          <t>FREEZER</t>
        </is>
      </c>
      <c r="D231" s="4" t="inlineStr">
        <is>
          <t>Intercity</t>
        </is>
      </c>
      <c r="E231" s="4" t="inlineStr">
        <is>
          <t>Physically counted 2026-08-01</t>
        </is>
      </c>
      <c r="F231" s="4" t="inlineStr">
        <is>
          <t>2026-08-01</t>
        </is>
      </c>
      <c r="G231" s="5" t="n">
        <v>25</v>
      </c>
      <c r="H231" s="4" t="inlineStr">
        <is>
          <t>lb</t>
        </is>
      </c>
      <c r="I231" s="5" t="n">
        <v>11339.8</v>
      </c>
      <c r="J231" s="4" t="inlineStr">
        <is>
          <t>g</t>
        </is>
      </c>
      <c r="K231" s="6" t="n">
        <v>0.04828127480202472</v>
      </c>
      <c r="L231" s="6" t="n">
        <v>0.04387202596165717</v>
      </c>
      <c r="M231" s="7">
        <f>I231*K231</f>
        <v/>
      </c>
      <c r="N231" s="7">
        <f>I231*L231</f>
        <v/>
      </c>
      <c r="O231" s="7">
        <f>N231-M231</f>
        <v/>
      </c>
      <c r="P231" s="7" t="n">
        <v>43.87202596165717</v>
      </c>
      <c r="Q231" s="4" t="inlineStr">
        <is>
          <t>kg</t>
        </is>
      </c>
      <c r="R231" s="4" t="inlineStr">
        <is>
          <t>4535.92 case</t>
        </is>
      </c>
    </row>
    <row r="232">
      <c r="A232" s="4" t="inlineStr">
        <is>
          <t>Scallops</t>
        </is>
      </c>
      <c r="B232" s="4" t="inlineStr">
        <is>
          <t>FISH</t>
        </is>
      </c>
      <c r="C232" s="4" t="inlineStr">
        <is>
          <t>CATERING</t>
        </is>
      </c>
      <c r="D232" s="4" t="inlineStr"/>
      <c r="E232" s="4" t="inlineStr">
        <is>
          <t>Physically counted 2026-08-01</t>
        </is>
      </c>
      <c r="F232" s="4" t="inlineStr">
        <is>
          <t>2026-08-01</t>
        </is>
      </c>
      <c r="G232" s="5" t="n">
        <v>0</v>
      </c>
      <c r="H232" s="4" t="inlineStr">
        <is>
          <t>kg</t>
        </is>
      </c>
      <c r="I232" s="5" t="n">
        <v>0</v>
      </c>
      <c r="J232" s="4" t="inlineStr">
        <is>
          <t>g</t>
        </is>
      </c>
      <c r="K232" s="6" t="n">
        <v>0.11</v>
      </c>
      <c r="L232" s="6" t="n">
        <v>0.11</v>
      </c>
      <c r="M232" s="7">
        <f>I232*K232</f>
        <v/>
      </c>
      <c r="N232" s="7">
        <f>I232*L232</f>
        <v/>
      </c>
      <c r="O232" s="7">
        <f>N232-M232</f>
        <v/>
      </c>
      <c r="P232" s="7" t="n">
        <v>110</v>
      </c>
      <c r="Q232" s="4" t="inlineStr">
        <is>
          <t>kg</t>
        </is>
      </c>
      <c r="R232" s="4" t="inlineStr">
        <is>
          <t>1 each → 1000 each</t>
        </is>
      </c>
    </row>
    <row r="233">
      <c r="A233" s="4" t="inlineStr">
        <is>
          <t>Trout</t>
        </is>
      </c>
      <c r="B233" s="4" t="inlineStr">
        <is>
          <t>FISH</t>
        </is>
      </c>
      <c r="C233" s="4" t="inlineStr"/>
      <c r="D233" s="4" t="inlineStr"/>
      <c r="E233" s="4" t="inlineStr">
        <is>
          <t>Physically counted 2026-08-01</t>
        </is>
      </c>
      <c r="F233" s="4" t="inlineStr">
        <is>
          <t>2026-08-01</t>
        </is>
      </c>
      <c r="G233" s="5" t="n">
        <v>0</v>
      </c>
      <c r="H233" s="4" t="inlineStr">
        <is>
          <t>kg</t>
        </is>
      </c>
      <c r="I233" s="5" t="n">
        <v>0</v>
      </c>
      <c r="J233" s="4" t="inlineStr">
        <is>
          <t>g</t>
        </is>
      </c>
      <c r="K233" s="6" t="n">
        <v>0.028</v>
      </c>
      <c r="L233" s="6" t="n">
        <v>0.028</v>
      </c>
      <c r="M233" s="7">
        <f>I233*K233</f>
        <v/>
      </c>
      <c r="N233" s="7">
        <f>I233*L233</f>
        <v/>
      </c>
      <c r="O233" s="7">
        <f>N233-M233</f>
        <v/>
      </c>
      <c r="P233" s="7" t="n">
        <v>28</v>
      </c>
      <c r="Q233" s="4" t="inlineStr">
        <is>
          <t>kg</t>
        </is>
      </c>
      <c r="R233" s="4" t="inlineStr">
        <is>
          <t>1 each → 1000 each</t>
        </is>
      </c>
    </row>
    <row r="234">
      <c r="A234" s="4" t="inlineStr">
        <is>
          <t>BLUEBERRY CULTIVATED IQF CAN</t>
        </is>
      </c>
      <c r="B234" s="4" t="inlineStr">
        <is>
          <t>FROZEN</t>
        </is>
      </c>
      <c r="C234" s="4" t="inlineStr"/>
      <c r="D234" s="4" t="inlineStr">
        <is>
          <t>Sysco</t>
        </is>
      </c>
      <c r="E234" s="4" t="inlineStr">
        <is>
          <t>Physically counted 2026-08-01</t>
        </is>
      </c>
      <c r="F234" s="4" t="inlineStr">
        <is>
          <t>2026-08-01</t>
        </is>
      </c>
      <c r="G234" s="5" t="n">
        <v>2</v>
      </c>
      <c r="H234" s="4" t="inlineStr">
        <is>
          <t>case</t>
        </is>
      </c>
      <c r="I234" s="5" t="n">
        <v>5000</v>
      </c>
      <c r="J234" s="4" t="inlineStr">
        <is>
          <t>g</t>
        </is>
      </c>
      <c r="K234" s="6" t="n">
        <v>0.029772</v>
      </c>
      <c r="L234" s="6" t="n">
        <v>0.029772</v>
      </c>
      <c r="M234" s="7">
        <f>I234*K234</f>
        <v/>
      </c>
      <c r="N234" s="7">
        <f>I234*L234</f>
        <v/>
      </c>
      <c r="O234" s="7">
        <f>N234-M234</f>
        <v/>
      </c>
      <c r="P234" s="7" t="n">
        <v>29.772</v>
      </c>
      <c r="Q234" s="4" t="inlineStr">
        <is>
          <t>kg</t>
        </is>
      </c>
      <c r="R234" s="4" t="inlineStr">
        <is>
          <t>1 case → 2500 each</t>
        </is>
      </c>
    </row>
    <row r="235">
      <c r="A235" s="4" t="inlineStr">
        <is>
          <t>CORN COB CDN FROZEN</t>
        </is>
      </c>
      <c r="B235" s="4" t="inlineStr">
        <is>
          <t>FROZEN</t>
        </is>
      </c>
      <c r="C235" s="4" t="inlineStr"/>
      <c r="D235" s="4" t="inlineStr">
        <is>
          <t>Sysco</t>
        </is>
      </c>
      <c r="E235" s="4" t="inlineStr">
        <is>
          <t>Physically counted 2026-08-01</t>
        </is>
      </c>
      <c r="F235" s="4" t="inlineStr">
        <is>
          <t>2026-08-01</t>
        </is>
      </c>
      <c r="G235" s="5" t="n">
        <v>1</v>
      </c>
      <c r="H235" s="4" t="inlineStr">
        <is>
          <t>case</t>
        </is>
      </c>
      <c r="I235" s="5" t="n">
        <v>48</v>
      </c>
      <c r="J235" s="4" t="inlineStr">
        <is>
          <t>each</t>
        </is>
      </c>
      <c r="K235" s="6" t="n">
        <v>1.57125</v>
      </c>
      <c r="L235" s="6" t="n">
        <v>1.57125</v>
      </c>
      <c r="M235" s="7">
        <f>I235*K235</f>
        <v/>
      </c>
      <c r="N235" s="7">
        <f>I235*L235</f>
        <v/>
      </c>
      <c r="O235" s="7">
        <f>N235-M235</f>
        <v/>
      </c>
      <c r="P235" s="7" t="n">
        <v>1.57125</v>
      </c>
      <c r="Q235" s="4" t="inlineStr">
        <is>
          <t>each</t>
        </is>
      </c>
      <c r="R235" s="4" t="inlineStr">
        <is>
          <t>48 case → 1 each</t>
        </is>
      </c>
    </row>
    <row r="236">
      <c r="A236" s="4" t="inlineStr">
        <is>
          <t>FROZEN STRAWBERRY IQF CAN A</t>
        </is>
      </c>
      <c r="B236" s="4" t="inlineStr">
        <is>
          <t>FROZEN</t>
        </is>
      </c>
      <c r="C236" s="4" t="inlineStr"/>
      <c r="D236" s="4" t="inlineStr">
        <is>
          <t>Sysco</t>
        </is>
      </c>
      <c r="E236" s="4" t="inlineStr">
        <is>
          <t>Physically counted 2026-08-01</t>
        </is>
      </c>
      <c r="F236" s="4" t="inlineStr">
        <is>
          <t>2026-08-01</t>
        </is>
      </c>
      <c r="G236" s="5" t="n">
        <v>0</v>
      </c>
      <c r="H236" s="4" t="inlineStr">
        <is>
          <t>each</t>
        </is>
      </c>
      <c r="I236" s="5" t="n">
        <v>0</v>
      </c>
      <c r="J236" s="4" t="inlineStr">
        <is>
          <t>g</t>
        </is>
      </c>
      <c r="K236" s="6" t="n">
        <v>0.007655</v>
      </c>
      <c r="L236" s="6" t="n">
        <v>0.007655</v>
      </c>
      <c r="M236" s="7">
        <f>I236*K236</f>
        <v/>
      </c>
      <c r="N236" s="7">
        <f>I236*L236</f>
        <v/>
      </c>
      <c r="O236" s="7">
        <f>N236-M236</f>
        <v/>
      </c>
      <c r="P236" s="7" t="n">
        <v>7.655</v>
      </c>
      <c r="Q236" s="4" t="inlineStr">
        <is>
          <t>kg</t>
        </is>
      </c>
      <c r="R236" s="4" t="inlineStr">
        <is>
          <t>6 case → 2000 each</t>
        </is>
      </c>
    </row>
    <row r="237">
      <c r="A237" s="4" t="inlineStr">
        <is>
          <t>STRAWBERRY FREEZE DRIED DICED</t>
        </is>
      </c>
      <c r="B237" s="4" t="inlineStr">
        <is>
          <t>FROZEN</t>
        </is>
      </c>
      <c r="C237" s="4" t="inlineStr"/>
      <c r="D237" s="4" t="inlineStr">
        <is>
          <t>Snow Cap</t>
        </is>
      </c>
      <c r="E237" s="4" t="inlineStr">
        <is>
          <t>Physically counted 2026-08-01</t>
        </is>
      </c>
      <c r="F237" s="4" t="inlineStr">
        <is>
          <t>2026-08-01</t>
        </is>
      </c>
      <c r="G237" s="5" t="n">
        <v>3</v>
      </c>
      <c r="H237" s="4" t="inlineStr">
        <is>
          <t>each</t>
        </is>
      </c>
      <c r="I237" s="5" t="n">
        <v>816</v>
      </c>
      <c r="J237" s="4" t="inlineStr">
        <is>
          <t>g</t>
        </is>
      </c>
      <c r="K237" s="6" t="n">
        <v>0.08088235294117647</v>
      </c>
      <c r="L237" s="6" t="n">
        <v>0.08088235294117647</v>
      </c>
      <c r="M237" s="7">
        <f>I237*K237</f>
        <v/>
      </c>
      <c r="N237" s="7">
        <f>I237*L237</f>
        <v/>
      </c>
      <c r="O237" s="7">
        <f>N237-M237</f>
        <v/>
      </c>
      <c r="P237" s="7" t="n">
        <v>80.88235294117648</v>
      </c>
      <c r="Q237" s="4" t="inlineStr">
        <is>
          <t>kg</t>
        </is>
      </c>
      <c r="R237" s="4" t="inlineStr">
        <is>
          <t>1 case → 272 each</t>
        </is>
      </c>
    </row>
    <row r="238">
      <c r="A238" s="4" t="inlineStr">
        <is>
          <t>Airline Chicken Breast</t>
        </is>
      </c>
      <c r="B238" s="4" t="inlineStr">
        <is>
          <t>MEAT</t>
        </is>
      </c>
      <c r="C238" s="4" t="inlineStr">
        <is>
          <t>CATERING</t>
        </is>
      </c>
      <c r="D238" s="4" t="inlineStr">
        <is>
          <t>Legends Haul</t>
        </is>
      </c>
      <c r="E238" s="4" t="inlineStr">
        <is>
          <t>Physically counted 2026-08-01</t>
        </is>
      </c>
      <c r="F238" s="4" t="inlineStr">
        <is>
          <t>2026-08-01</t>
        </is>
      </c>
      <c r="G238" s="5" t="n">
        <v>0</v>
      </c>
      <c r="H238" s="4" t="inlineStr">
        <is>
          <t>kg</t>
        </is>
      </c>
      <c r="I238" s="5" t="n">
        <v>0</v>
      </c>
      <c r="J238" s="4" t="inlineStr">
        <is>
          <t>g</t>
        </is>
      </c>
      <c r="K238" s="6" t="n">
        <v>0.02099</v>
      </c>
      <c r="L238" s="6" t="n">
        <v>0.02099</v>
      </c>
      <c r="M238" s="7">
        <f>I238*K238</f>
        <v/>
      </c>
      <c r="N238" s="7">
        <f>I238*L238</f>
        <v/>
      </c>
      <c r="O238" s="7">
        <f>N238-M238</f>
        <v/>
      </c>
      <c r="P238" s="7" t="n">
        <v>20.99</v>
      </c>
      <c r="Q238" s="4" t="inlineStr">
        <is>
          <t>kg</t>
        </is>
      </c>
      <c r="R238" s="4" t="inlineStr">
        <is>
          <t>30 case</t>
        </is>
      </c>
    </row>
    <row r="239">
      <c r="A239" s="4" t="inlineStr">
        <is>
          <t>Bacon Ends Mixed Smoked 10kg/case LEGENDS</t>
        </is>
      </c>
      <c r="B239" s="4" t="inlineStr">
        <is>
          <t>MEAT</t>
        </is>
      </c>
      <c r="C239" s="4" t="inlineStr"/>
      <c r="D239" s="4" t="inlineStr">
        <is>
          <t>Legends Haul</t>
        </is>
      </c>
      <c r="E239" s="4" t="inlineStr">
        <is>
          <t>Physically counted 2026-08-01</t>
        </is>
      </c>
      <c r="F239" s="4" t="inlineStr">
        <is>
          <t>2026-08-01</t>
        </is>
      </c>
      <c r="G239" s="5" t="n">
        <v>5</v>
      </c>
      <c r="H239" s="4" t="inlineStr">
        <is>
          <t>case</t>
        </is>
      </c>
      <c r="I239" s="5" t="n">
        <v>50000</v>
      </c>
      <c r="J239" s="4" t="inlineStr">
        <is>
          <t>g</t>
        </is>
      </c>
      <c r="K239" s="6" t="n">
        <v>0.007</v>
      </c>
      <c r="L239" s="6" t="n">
        <v>0.007</v>
      </c>
      <c r="M239" s="7">
        <f>I239*K239</f>
        <v/>
      </c>
      <c r="N239" s="7">
        <f>I239*L239</f>
        <v/>
      </c>
      <c r="O239" s="7">
        <f>N239-M239</f>
        <v/>
      </c>
      <c r="P239" s="7" t="n">
        <v>7</v>
      </c>
      <c r="Q239" s="4" t="inlineStr">
        <is>
          <t>kg</t>
        </is>
      </c>
      <c r="R239" s="4" t="inlineStr">
        <is>
          <t>10000 case</t>
        </is>
      </c>
    </row>
    <row r="240">
      <c r="A240" s="4" t="inlineStr">
        <is>
          <t>Beef Chuck Flat</t>
        </is>
      </c>
      <c r="B240" s="4" t="inlineStr">
        <is>
          <t>MEAT</t>
        </is>
      </c>
      <c r="C240" s="4" t="inlineStr">
        <is>
          <t>CATERING</t>
        </is>
      </c>
      <c r="D240" s="4" t="inlineStr">
        <is>
          <t>Legends Haul</t>
        </is>
      </c>
      <c r="E240" s="4" t="inlineStr">
        <is>
          <t>Physically counted 2026-08-01</t>
        </is>
      </c>
      <c r="F240" s="4" t="inlineStr">
        <is>
          <t>2026-08-01</t>
        </is>
      </c>
      <c r="G240" s="5" t="n">
        <v>0</v>
      </c>
      <c r="H240" s="4" t="inlineStr">
        <is>
          <t>kg</t>
        </is>
      </c>
      <c r="I240" s="5" t="n">
        <v>0</v>
      </c>
      <c r="J240" s="4" t="inlineStr">
        <is>
          <t>g</t>
        </is>
      </c>
      <c r="K240" s="6" t="n">
        <v>0.027</v>
      </c>
      <c r="L240" s="6" t="n">
        <v>0.027</v>
      </c>
      <c r="M240" s="7">
        <f>I240*K240</f>
        <v/>
      </c>
      <c r="N240" s="7">
        <f>I240*L240</f>
        <v/>
      </c>
      <c r="O240" s="7">
        <f>N240-M240</f>
        <v/>
      </c>
      <c r="P240" s="7" t="n">
        <v>27</v>
      </c>
      <c r="Q240" s="4" t="inlineStr">
        <is>
          <t>kg</t>
        </is>
      </c>
      <c r="R240" s="4" t="inlineStr">
        <is>
          <t>1000 case</t>
        </is>
      </c>
    </row>
    <row r="241">
      <c r="A241" s="4" t="inlineStr">
        <is>
          <t>Beef Digital AA FZ 1kg pkgs — JBS/CARGIL</t>
        </is>
      </c>
      <c r="B241" s="4" t="inlineStr">
        <is>
          <t>MEAT</t>
        </is>
      </c>
      <c r="C241" s="4" t="inlineStr">
        <is>
          <t>FRIDGE</t>
        </is>
      </c>
      <c r="D241" s="4" t="inlineStr">
        <is>
          <t>Legends Haul</t>
        </is>
      </c>
      <c r="E241" s="4" t="inlineStr">
        <is>
          <t>Physically counted 2026-08-01</t>
        </is>
      </c>
      <c r="F241" s="4" t="inlineStr">
        <is>
          <t>2026-08-01</t>
        </is>
      </c>
      <c r="G241" s="5" t="n">
        <v>0</v>
      </c>
      <c r="H241" s="4" t="inlineStr">
        <is>
          <t>kg</t>
        </is>
      </c>
      <c r="I241" s="5" t="n">
        <v>0</v>
      </c>
      <c r="J241" s="4" t="inlineStr">
        <is>
          <t>g</t>
        </is>
      </c>
      <c r="K241" s="6" t="n">
        <v>0.02349</v>
      </c>
      <c r="L241" s="6" t="n">
        <v>0.0229</v>
      </c>
      <c r="M241" s="7">
        <f>I241*K241</f>
        <v/>
      </c>
      <c r="N241" s="7">
        <f>I241*L241</f>
        <v/>
      </c>
      <c r="O241" s="7">
        <f>N241-M241</f>
        <v/>
      </c>
      <c r="P241" s="7" t="n">
        <v>22.9</v>
      </c>
      <c r="Q241" s="4" t="inlineStr">
        <is>
          <t>kg</t>
        </is>
      </c>
      <c r="R241" s="4" t="inlineStr">
        <is>
          <t>1000 case</t>
        </is>
      </c>
    </row>
    <row r="242">
      <c r="A242" s="4" t="inlineStr">
        <is>
          <t>Beef Fat Trim</t>
        </is>
      </c>
      <c r="B242" s="4" t="inlineStr">
        <is>
          <t>MEAT</t>
        </is>
      </c>
      <c r="C242" s="4" t="inlineStr">
        <is>
          <t>FRIDGE</t>
        </is>
      </c>
      <c r="D242" s="4" t="inlineStr">
        <is>
          <t>Legends Haul</t>
        </is>
      </c>
      <c r="E242" s="4" t="inlineStr">
        <is>
          <t>Physically counted 2026-08-01</t>
        </is>
      </c>
      <c r="F242" s="4" t="inlineStr">
        <is>
          <t>2026-08-01</t>
        </is>
      </c>
      <c r="G242" s="5" t="n">
        <v>0</v>
      </c>
      <c r="H242" s="4" t="inlineStr">
        <is>
          <t>case</t>
        </is>
      </c>
      <c r="I242" s="5" t="n">
        <v>0</v>
      </c>
      <c r="J242" s="4" t="inlineStr">
        <is>
          <t>each</t>
        </is>
      </c>
      <c r="K242" s="6" t="n">
        <v>0</v>
      </c>
      <c r="L242" s="6" t="n">
        <v>0</v>
      </c>
      <c r="M242" s="7">
        <f>I242*K242</f>
        <v/>
      </c>
      <c r="N242" s="7">
        <f>I242*L242</f>
        <v/>
      </c>
      <c r="O242" s="7">
        <f>N242-M242</f>
        <v/>
      </c>
      <c r="P242" s="7" t="n">
        <v>0</v>
      </c>
      <c r="Q242" s="4" t="inlineStr">
        <is>
          <t>each</t>
        </is>
      </c>
      <c r="R242" s="4" t="inlineStr">
        <is>
          <t>1 case → 1 each</t>
        </is>
      </c>
    </row>
    <row r="243">
      <c r="A243" s="4" t="inlineStr">
        <is>
          <t>bison burger</t>
        </is>
      </c>
      <c r="B243" s="4" t="inlineStr">
        <is>
          <t>MEAT</t>
        </is>
      </c>
      <c r="C243" s="4" t="inlineStr"/>
      <c r="D243" s="4" t="inlineStr"/>
      <c r="E243" s="4" t="inlineStr">
        <is>
          <t>Physically counted 2026-08-01</t>
        </is>
      </c>
      <c r="F243" s="4" t="inlineStr">
        <is>
          <t>2026-08-01</t>
        </is>
      </c>
      <c r="G243" s="5" t="n">
        <v>40</v>
      </c>
      <c r="H243" s="4" t="inlineStr">
        <is>
          <t>kg</t>
        </is>
      </c>
      <c r="I243" s="5" t="n">
        <v>40000</v>
      </c>
      <c r="J243" s="4" t="inlineStr">
        <is>
          <t>g</t>
        </is>
      </c>
      <c r="K243" s="6" t="n">
        <v>0.025</v>
      </c>
      <c r="L243" s="6" t="n">
        <v>0.025</v>
      </c>
      <c r="M243" s="7">
        <f>I243*K243</f>
        <v/>
      </c>
      <c r="N243" s="7">
        <f>I243*L243</f>
        <v/>
      </c>
      <c r="O243" s="7">
        <f>N243-M243</f>
        <v/>
      </c>
      <c r="P243" s="7" t="n">
        <v>25</v>
      </c>
      <c r="Q243" s="4" t="inlineStr">
        <is>
          <t>kg</t>
        </is>
      </c>
      <c r="R243" s="4" t="inlineStr">
        <is>
          <t>1 each → 1000 each</t>
        </is>
      </c>
    </row>
    <row r="244">
      <c r="A244" s="4" t="inlineStr">
        <is>
          <t>bison herb salami</t>
        </is>
      </c>
      <c r="B244" s="4" t="inlineStr">
        <is>
          <t>MEAT</t>
        </is>
      </c>
      <c r="C244" s="4" t="inlineStr">
        <is>
          <t>FRIDGE</t>
        </is>
      </c>
      <c r="D244" s="4" t="inlineStr"/>
      <c r="E244" s="4" t="inlineStr">
        <is>
          <t>Physically counted 2026-08-01</t>
        </is>
      </c>
      <c r="F244" s="4" t="inlineStr">
        <is>
          <t>2026-08-01</t>
        </is>
      </c>
      <c r="G244" s="5" t="n">
        <v>0</v>
      </c>
      <c r="H244" s="4" t="inlineStr">
        <is>
          <t>kg</t>
        </is>
      </c>
      <c r="I244" s="5" t="n">
        <v>0</v>
      </c>
      <c r="J244" s="4" t="inlineStr">
        <is>
          <t>g</t>
        </is>
      </c>
      <c r="K244" s="6" t="n">
        <v>0.07070230515529374</v>
      </c>
      <c r="L244" s="6" t="n">
        <v>0.07070230515529374</v>
      </c>
      <c r="M244" s="7">
        <f>I244*K244</f>
        <v/>
      </c>
      <c r="N244" s="7">
        <f>I244*L244</f>
        <v/>
      </c>
      <c r="O244" s="7">
        <f>N244-M244</f>
        <v/>
      </c>
      <c r="P244" s="7" t="n">
        <v>70.70230515529374</v>
      </c>
      <c r="Q244" s="4" t="inlineStr">
        <is>
          <t>kg</t>
        </is>
      </c>
      <c r="R244" s="4" t="inlineStr">
        <is>
          <t>1 each → 100 each</t>
        </is>
      </c>
    </row>
    <row r="245">
      <c r="A245" s="4" t="inlineStr">
        <is>
          <t>Bresaola</t>
        </is>
      </c>
      <c r="B245" s="4" t="inlineStr">
        <is>
          <t>MEAT</t>
        </is>
      </c>
      <c r="C245" s="4" t="inlineStr">
        <is>
          <t>FRIDGE</t>
        </is>
      </c>
      <c r="D245" s="4" t="inlineStr">
        <is>
          <t>Two Rivers</t>
        </is>
      </c>
      <c r="E245" s="4" t="inlineStr">
        <is>
          <t>Physically counted 2026-08-01</t>
        </is>
      </c>
      <c r="F245" s="4" t="inlineStr">
        <is>
          <t>2026-08-01</t>
        </is>
      </c>
      <c r="G245" s="5" t="n">
        <v>0</v>
      </c>
      <c r="H245" s="4" t="inlineStr">
        <is>
          <t>kg</t>
        </is>
      </c>
      <c r="I245" s="5" t="n">
        <v>0</v>
      </c>
      <c r="J245" s="4" t="inlineStr">
        <is>
          <t>g</t>
        </is>
      </c>
      <c r="K245" s="6" t="n">
        <v>0.1099</v>
      </c>
      <c r="L245" s="6" t="n">
        <v>0.1099</v>
      </c>
      <c r="M245" s="7">
        <f>I245*K245</f>
        <v/>
      </c>
      <c r="N245" s="7">
        <f>I245*L245</f>
        <v/>
      </c>
      <c r="O245" s="7">
        <f>N245-M245</f>
        <v/>
      </c>
      <c r="P245" s="7" t="n">
        <v>109.9</v>
      </c>
      <c r="Q245" s="4" t="inlineStr">
        <is>
          <t>kg</t>
        </is>
      </c>
      <c r="R245" s="4" t="inlineStr">
        <is>
          <t>1 case → 100 each</t>
        </is>
      </c>
    </row>
    <row r="246">
      <c r="A246" s="4" t="inlineStr">
        <is>
          <t>Brisket AAA</t>
        </is>
      </c>
      <c r="B246" s="4" t="inlineStr">
        <is>
          <t>MEAT</t>
        </is>
      </c>
      <c r="C246" s="4" t="inlineStr">
        <is>
          <t>FRIDGE</t>
        </is>
      </c>
      <c r="D246" s="4" t="inlineStr">
        <is>
          <t>Legends Haul</t>
        </is>
      </c>
      <c r="E246" s="4" t="inlineStr">
        <is>
          <t>Physically counted 2026-08-01</t>
        </is>
      </c>
      <c r="F246" s="4" t="inlineStr">
        <is>
          <t>2026-08-01</t>
        </is>
      </c>
      <c r="G246" s="5" t="n">
        <v>34.67</v>
      </c>
      <c r="H246" s="4" t="inlineStr">
        <is>
          <t>kg</t>
        </is>
      </c>
      <c r="I246" s="5" t="n">
        <v>34670</v>
      </c>
      <c r="J246" s="4" t="inlineStr">
        <is>
          <t>g</t>
        </is>
      </c>
      <c r="K246" s="6" t="n">
        <v>0.0197</v>
      </c>
      <c r="L246" s="6" t="n">
        <v>0.0197</v>
      </c>
      <c r="M246" s="7">
        <f>I246*K246</f>
        <v/>
      </c>
      <c r="N246" s="7">
        <f>I246*L246</f>
        <v/>
      </c>
      <c r="O246" s="7">
        <f>N246-M246</f>
        <v/>
      </c>
      <c r="P246" s="7" t="n">
        <v>19.7</v>
      </c>
      <c r="Q246" s="4" t="inlineStr">
        <is>
          <t>kg</t>
        </is>
      </c>
      <c r="R246" s="4" t="inlineStr">
        <is>
          <t>28000 case</t>
        </is>
      </c>
    </row>
    <row r="247">
      <c r="A247" s="4" t="inlineStr">
        <is>
          <t>Chicken Schnitzel</t>
        </is>
      </c>
      <c r="B247" s="4" t="inlineStr">
        <is>
          <t>MEAT</t>
        </is>
      </c>
      <c r="C247" s="4" t="inlineStr"/>
      <c r="D247" s="4" t="inlineStr"/>
      <c r="E247" s="4" t="inlineStr">
        <is>
          <t>Physically counted 2026-08-01</t>
        </is>
      </c>
      <c r="F247" s="4" t="inlineStr">
        <is>
          <t>2026-08-01</t>
        </is>
      </c>
      <c r="G247" s="5" t="n">
        <v>0</v>
      </c>
      <c r="H247" s="4" t="inlineStr">
        <is>
          <t>kg</t>
        </is>
      </c>
      <c r="I247" s="5" t="n">
        <v>0</v>
      </c>
      <c r="J247" s="4" t="inlineStr">
        <is>
          <t>g</t>
        </is>
      </c>
      <c r="K247" s="6" t="n">
        <v>0.0151675</v>
      </c>
      <c r="L247" s="6" t="n">
        <v>0.0151675</v>
      </c>
      <c r="M247" s="7">
        <f>I247*K247</f>
        <v/>
      </c>
      <c r="N247" s="7">
        <f>I247*L247</f>
        <v/>
      </c>
      <c r="O247" s="7">
        <f>N247-M247</f>
        <v/>
      </c>
      <c r="P247" s="7" t="n">
        <v>15.1675</v>
      </c>
      <c r="Q247" s="4" t="inlineStr">
        <is>
          <t>kg</t>
        </is>
      </c>
      <c r="R247" s="4" t="inlineStr">
        <is>
          <t>1 case → 4000 each</t>
        </is>
      </c>
    </row>
    <row r="248">
      <c r="A248" s="4" t="inlineStr">
        <is>
          <t>Chorizo</t>
        </is>
      </c>
      <c r="B248" s="4" t="inlineStr">
        <is>
          <t>MEAT</t>
        </is>
      </c>
      <c r="C248" s="4" t="inlineStr"/>
      <c r="D248" s="4" t="inlineStr"/>
      <c r="E248" s="4" t="inlineStr">
        <is>
          <t>Physically counted 2026-08-01</t>
        </is>
      </c>
      <c r="F248" s="4" t="inlineStr">
        <is>
          <t>2026-08-01</t>
        </is>
      </c>
      <c r="G248" s="5" t="n">
        <v>0</v>
      </c>
      <c r="H248" s="4" t="inlineStr">
        <is>
          <t>kg</t>
        </is>
      </c>
      <c r="I248" s="5" t="n">
        <v>0</v>
      </c>
      <c r="J248" s="4" t="inlineStr">
        <is>
          <t>g</t>
        </is>
      </c>
      <c r="K248" s="6" t="n">
        <v>0.02</v>
      </c>
      <c r="L248" s="6" t="n">
        <v>0.02</v>
      </c>
      <c r="M248" s="7">
        <f>I248*K248</f>
        <v/>
      </c>
      <c r="N248" s="7">
        <f>I248*L248</f>
        <v/>
      </c>
      <c r="O248" s="7">
        <f>N248-M248</f>
        <v/>
      </c>
      <c r="P248" s="7" t="n">
        <v>20</v>
      </c>
      <c r="Q248" s="4" t="inlineStr">
        <is>
          <t>kg</t>
        </is>
      </c>
      <c r="R248" s="4" t="inlineStr">
        <is>
          <t>1 case → 1000 each</t>
        </is>
      </c>
    </row>
    <row r="249">
      <c r="A249" s="4" t="inlineStr">
        <is>
          <t>Chx Bone Mixed IH 10 kg avg LEGENDS</t>
        </is>
      </c>
      <c r="B249" s="4" t="inlineStr">
        <is>
          <t>MEAT</t>
        </is>
      </c>
      <c r="C249" s="4" t="inlineStr"/>
      <c r="D249" s="4" t="inlineStr">
        <is>
          <t>Legends Haul</t>
        </is>
      </c>
      <c r="E249" s="4" t="inlineStr">
        <is>
          <t>Physically counted 2026-08-01</t>
        </is>
      </c>
      <c r="F249" s="4" t="inlineStr">
        <is>
          <t>2026-08-01</t>
        </is>
      </c>
      <c r="G249" s="5" t="n">
        <v>0</v>
      </c>
      <c r="H249" s="4" t="inlineStr">
        <is>
          <t>case</t>
        </is>
      </c>
      <c r="I249" s="5" t="n">
        <v>0</v>
      </c>
      <c r="J249" s="4" t="inlineStr">
        <is>
          <t>g</t>
        </is>
      </c>
      <c r="K249" s="6" t="n">
        <v>0.00429</v>
      </c>
      <c r="L249" s="6" t="n">
        <v>0.00429</v>
      </c>
      <c r="M249" s="7">
        <f>I249*K249</f>
        <v/>
      </c>
      <c r="N249" s="7">
        <f>I249*L249</f>
        <v/>
      </c>
      <c r="O249" s="7">
        <f>N249-M249</f>
        <v/>
      </c>
      <c r="P249" s="7" t="n">
        <v>4.29</v>
      </c>
      <c r="Q249" s="4" t="inlineStr">
        <is>
          <t>kg</t>
        </is>
      </c>
      <c r="R249" s="4" t="inlineStr">
        <is>
          <t>10000 case</t>
        </is>
      </c>
    </row>
    <row r="250">
      <c r="A250" s="4" t="inlineStr">
        <is>
          <t>Coppa</t>
        </is>
      </c>
      <c r="B250" s="4" t="inlineStr">
        <is>
          <t>MEAT</t>
        </is>
      </c>
      <c r="C250" s="4" t="inlineStr">
        <is>
          <t>FRIDGE</t>
        </is>
      </c>
      <c r="D250" s="4" t="inlineStr"/>
      <c r="E250" s="4" t="inlineStr">
        <is>
          <t>Physically counted 2026-08-01</t>
        </is>
      </c>
      <c r="F250" s="4" t="inlineStr">
        <is>
          <t>2026-08-01</t>
        </is>
      </c>
      <c r="G250" s="5" t="n">
        <v>0</v>
      </c>
      <c r="H250" s="4" t="inlineStr">
        <is>
          <t>kg</t>
        </is>
      </c>
      <c r="I250" s="5" t="n">
        <v>0</v>
      </c>
      <c r="J250" s="4" t="inlineStr">
        <is>
          <t>g</t>
        </is>
      </c>
      <c r="K250" s="6" t="n">
        <v>0.0649</v>
      </c>
      <c r="L250" s="6" t="n">
        <v>0.0649</v>
      </c>
      <c r="M250" s="7">
        <f>I250*K250</f>
        <v/>
      </c>
      <c r="N250" s="7">
        <f>I250*L250</f>
        <v/>
      </c>
      <c r="O250" s="7">
        <f>N250-M250</f>
        <v/>
      </c>
      <c r="P250" s="7" t="n">
        <v>64.90000000000001</v>
      </c>
      <c r="Q250" s="4" t="inlineStr">
        <is>
          <t>kg</t>
        </is>
      </c>
      <c r="R250" s="4" t="inlineStr">
        <is>
          <t>1 each → 100 each</t>
        </is>
      </c>
    </row>
    <row r="251">
      <c r="A251" s="4" t="inlineStr">
        <is>
          <t>Duck Breast</t>
        </is>
      </c>
      <c r="B251" s="4" t="inlineStr">
        <is>
          <t>MEAT</t>
        </is>
      </c>
      <c r="C251" s="4" t="inlineStr"/>
      <c r="D251" s="4" t="inlineStr">
        <is>
          <t>Intercity</t>
        </is>
      </c>
      <c r="E251" s="4" t="inlineStr">
        <is>
          <t>Physically counted 2026-08-01</t>
        </is>
      </c>
      <c r="F251" s="4" t="inlineStr">
        <is>
          <t>2026-08-01</t>
        </is>
      </c>
      <c r="G251" s="5" t="n">
        <v>0</v>
      </c>
      <c r="H251" s="4" t="inlineStr">
        <is>
          <t>kg</t>
        </is>
      </c>
      <c r="I251" s="5" t="n">
        <v>0</v>
      </c>
      <c r="J251" s="4" t="inlineStr">
        <is>
          <t>g</t>
        </is>
      </c>
      <c r="K251" s="6" t="n">
        <v>0.028</v>
      </c>
      <c r="L251" s="6" t="n">
        <v>0.028</v>
      </c>
      <c r="M251" s="7">
        <f>I251*K251</f>
        <v/>
      </c>
      <c r="N251" s="7">
        <f>I251*L251</f>
        <v/>
      </c>
      <c r="O251" s="7">
        <f>N251-M251</f>
        <v/>
      </c>
      <c r="P251" s="7" t="n">
        <v>28</v>
      </c>
      <c r="Q251" s="4" t="inlineStr">
        <is>
          <t>kg</t>
        </is>
      </c>
      <c r="R251" s="4" t="inlineStr">
        <is>
          <t>1000 each</t>
        </is>
      </c>
    </row>
    <row r="252">
      <c r="A252" s="4" t="inlineStr">
        <is>
          <t>duck fat</t>
        </is>
      </c>
      <c r="B252" s="4" t="inlineStr">
        <is>
          <t>MEAT</t>
        </is>
      </c>
      <c r="C252" s="4" t="inlineStr"/>
      <c r="D252" s="4" t="inlineStr"/>
      <c r="E252" s="4" t="inlineStr">
        <is>
          <t>Physically counted 2026-08-01</t>
        </is>
      </c>
      <c r="F252" s="4" t="inlineStr">
        <is>
          <t>2026-08-01</t>
        </is>
      </c>
      <c r="G252" s="5" t="n">
        <v>0</v>
      </c>
      <c r="H252" s="4" t="inlineStr">
        <is>
          <t>each</t>
        </is>
      </c>
      <c r="I252" s="5" t="n">
        <v>0</v>
      </c>
      <c r="J252" s="4" t="inlineStr">
        <is>
          <t>each</t>
        </is>
      </c>
      <c r="K252" s="6" t="n">
        <v>0</v>
      </c>
      <c r="L252" s="6" t="n">
        <v>0</v>
      </c>
      <c r="M252" s="7">
        <f>I252*K252</f>
        <v/>
      </c>
      <c r="N252" s="7">
        <f>I252*L252</f>
        <v/>
      </c>
      <c r="O252" s="7">
        <f>N252-M252</f>
        <v/>
      </c>
      <c r="P252" s="7" t="n">
        <v>0</v>
      </c>
      <c r="Q252" s="4" t="inlineStr">
        <is>
          <t>each</t>
        </is>
      </c>
      <c r="R252" s="4" t="inlineStr">
        <is>
          <t>1 each → 1 each</t>
        </is>
      </c>
    </row>
    <row r="253">
      <c r="A253" s="4" t="inlineStr">
        <is>
          <t>Duck prosciutto</t>
        </is>
      </c>
      <c r="B253" s="4" t="inlineStr">
        <is>
          <t>MEAT</t>
        </is>
      </c>
      <c r="C253" s="4" t="inlineStr"/>
      <c r="D253" s="4" t="inlineStr"/>
      <c r="E253" s="4" t="inlineStr">
        <is>
          <t>Physically counted 2026-08-01</t>
        </is>
      </c>
      <c r="F253" s="4" t="inlineStr">
        <is>
          <t>2026-08-01</t>
        </is>
      </c>
      <c r="G253" s="5" t="n">
        <v>0</v>
      </c>
      <c r="H253" s="4" t="inlineStr">
        <is>
          <t>kg</t>
        </is>
      </c>
      <c r="I253" s="5" t="n">
        <v>0</v>
      </c>
      <c r="J253" s="4" t="inlineStr">
        <is>
          <t>g</t>
        </is>
      </c>
      <c r="K253" s="6" t="n">
        <v>0.1194465510855571</v>
      </c>
      <c r="L253" s="6" t="n">
        <v>0.1194465510855571</v>
      </c>
      <c r="M253" s="7">
        <f>I253*K253</f>
        <v/>
      </c>
      <c r="N253" s="7">
        <f>I253*L253</f>
        <v/>
      </c>
      <c r="O253" s="7">
        <f>N253-M253</f>
        <v/>
      </c>
      <c r="P253" s="7" t="n">
        <v>119.4465510855571</v>
      </c>
      <c r="Q253" s="4" t="inlineStr">
        <is>
          <t>kg</t>
        </is>
      </c>
      <c r="R253" s="4" t="inlineStr">
        <is>
          <t>1 each → 100 each</t>
        </is>
      </c>
    </row>
    <row r="254">
      <c r="A254" s="4" t="inlineStr">
        <is>
          <t>Flat Iron Peeled 1-2lb Filet LEGENDS</t>
        </is>
      </c>
      <c r="B254" s="4" t="inlineStr">
        <is>
          <t>MEAT</t>
        </is>
      </c>
      <c r="C254" s="4" t="inlineStr">
        <is>
          <t>CATERING</t>
        </is>
      </c>
      <c r="D254" s="4" t="inlineStr">
        <is>
          <t>Legends Haul</t>
        </is>
      </c>
      <c r="E254" s="4" t="inlineStr">
        <is>
          <t>Physically counted 2026-08-01</t>
        </is>
      </c>
      <c r="F254" s="4" t="inlineStr">
        <is>
          <t>2026-08-01</t>
        </is>
      </c>
      <c r="G254" s="5" t="n">
        <v>0</v>
      </c>
      <c r="H254" s="4" t="inlineStr">
        <is>
          <t>kg</t>
        </is>
      </c>
      <c r="I254" s="5" t="n">
        <v>0</v>
      </c>
      <c r="J254" s="4" t="inlineStr">
        <is>
          <t>g</t>
        </is>
      </c>
      <c r="K254" s="6" t="n">
        <v>0.0399</v>
      </c>
      <c r="L254" s="6" t="n">
        <v>0.0399</v>
      </c>
      <c r="M254" s="7">
        <f>I254*K254</f>
        <v/>
      </c>
      <c r="N254" s="7">
        <f>I254*L254</f>
        <v/>
      </c>
      <c r="O254" s="7">
        <f>N254-M254</f>
        <v/>
      </c>
      <c r="P254" s="7" t="n">
        <v>39.9</v>
      </c>
      <c r="Q254" s="4" t="inlineStr">
        <is>
          <t>kg</t>
        </is>
      </c>
      <c r="R254" s="4" t="inlineStr">
        <is>
          <t>1000 each</t>
        </is>
      </c>
    </row>
    <row r="255">
      <c r="A255" s="4" t="inlineStr">
        <is>
          <t>Ground Pork</t>
        </is>
      </c>
      <c r="B255" s="4" t="inlineStr">
        <is>
          <t>MEAT</t>
        </is>
      </c>
      <c r="C255" s="4" t="inlineStr">
        <is>
          <t>FRIDGE</t>
        </is>
      </c>
      <c r="D255" s="4" t="inlineStr">
        <is>
          <t>Legends Haul</t>
        </is>
      </c>
      <c r="E255" s="4" t="inlineStr">
        <is>
          <t>Physically counted 2026-08-01</t>
        </is>
      </c>
      <c r="F255" s="4" t="inlineStr">
        <is>
          <t>2026-08-01</t>
        </is>
      </c>
      <c r="G255" s="5" t="n">
        <v>0</v>
      </c>
      <c r="H255" s="4" t="inlineStr">
        <is>
          <t>kg</t>
        </is>
      </c>
      <c r="I255" s="5" t="n">
        <v>0</v>
      </c>
      <c r="J255" s="4" t="inlineStr">
        <is>
          <t>g</t>
        </is>
      </c>
      <c r="K255" s="6" t="n">
        <v>0.01365</v>
      </c>
      <c r="L255" s="6" t="n">
        <v>0.01365</v>
      </c>
      <c r="M255" s="7">
        <f>I255*K255</f>
        <v/>
      </c>
      <c r="N255" s="7">
        <f>I255*L255</f>
        <v/>
      </c>
      <c r="O255" s="7">
        <f>N255-M255</f>
        <v/>
      </c>
      <c r="P255" s="7" t="n">
        <v>13.65</v>
      </c>
      <c r="Q255" s="4" t="inlineStr">
        <is>
          <t>kg</t>
        </is>
      </c>
      <c r="R255" s="4" t="inlineStr">
        <is>
          <t>7500 case</t>
        </is>
      </c>
    </row>
    <row r="256">
      <c r="A256" s="4" t="inlineStr">
        <is>
          <t>Ground Venison</t>
        </is>
      </c>
      <c r="B256" s="4" t="inlineStr">
        <is>
          <t>MEAT</t>
        </is>
      </c>
      <c r="C256" s="4" t="inlineStr">
        <is>
          <t>CATERING</t>
        </is>
      </c>
      <c r="D256" s="4" t="inlineStr"/>
      <c r="E256" s="4" t="inlineStr">
        <is>
          <t>Physically counted 2026-08-01</t>
        </is>
      </c>
      <c r="F256" s="4" t="inlineStr">
        <is>
          <t>2026-08-01</t>
        </is>
      </c>
      <c r="G256" s="5" t="n">
        <v>0</v>
      </c>
      <c r="H256" s="4" t="inlineStr">
        <is>
          <t>kg</t>
        </is>
      </c>
      <c r="I256" s="5" t="n">
        <v>0</v>
      </c>
      <c r="J256" s="4" t="inlineStr">
        <is>
          <t>g</t>
        </is>
      </c>
      <c r="K256" s="6" t="n">
        <v>0.07931999999999999</v>
      </c>
      <c r="L256" s="6" t="n">
        <v>0.07931999999999999</v>
      </c>
      <c r="M256" s="7">
        <f>I256*K256</f>
        <v/>
      </c>
      <c r="N256" s="7">
        <f>I256*L256</f>
        <v/>
      </c>
      <c r="O256" s="7">
        <f>N256-M256</f>
        <v/>
      </c>
      <c r="P256" s="7" t="n">
        <v>79.31999999999999</v>
      </c>
      <c r="Q256" s="4" t="inlineStr">
        <is>
          <t>kg</t>
        </is>
      </c>
      <c r="R256" s="4" t="inlineStr">
        <is>
          <t>1 each → 1000 each</t>
        </is>
      </c>
    </row>
    <row r="257">
      <c r="A257" s="4" t="inlineStr">
        <is>
          <t>HAM BNLS BSTN SAVOURY (Boston Ham)</t>
        </is>
      </c>
      <c r="B257" s="4" t="inlineStr">
        <is>
          <t>MEAT</t>
        </is>
      </c>
      <c r="C257" s="4" t="inlineStr"/>
      <c r="D257" s="4" t="inlineStr">
        <is>
          <t>Sysco</t>
        </is>
      </c>
      <c r="E257" s="4" t="inlineStr">
        <is>
          <t>Physically counted 2026-08-01</t>
        </is>
      </c>
      <c r="F257" s="4" t="inlineStr">
        <is>
          <t>2026-08-01</t>
        </is>
      </c>
      <c r="G257" s="5" t="n">
        <v>1</v>
      </c>
      <c r="H257" s="4" t="inlineStr">
        <is>
          <t>case</t>
        </is>
      </c>
      <c r="I257" s="5" t="n">
        <v>1700</v>
      </c>
      <c r="J257" s="4" t="inlineStr">
        <is>
          <t>g</t>
        </is>
      </c>
      <c r="K257" s="6" t="n">
        <v>0.01921</v>
      </c>
      <c r="L257" s="6" t="n">
        <v>0.01921</v>
      </c>
      <c r="M257" s="7">
        <f>I257*K257</f>
        <v/>
      </c>
      <c r="N257" s="7">
        <f>I257*L257</f>
        <v/>
      </c>
      <c r="O257" s="7">
        <f>N257-M257</f>
        <v/>
      </c>
      <c r="P257" s="7" t="n">
        <v>19.21</v>
      </c>
      <c r="Q257" s="4" t="inlineStr">
        <is>
          <t>kg</t>
        </is>
      </c>
      <c r="R257" s="4" t="inlineStr">
        <is>
          <t>1700 case</t>
        </is>
      </c>
    </row>
    <row r="258">
      <c r="A258" s="4" t="inlineStr">
        <is>
          <t>Ham Rosemary</t>
        </is>
      </c>
      <c r="B258" s="4" t="inlineStr">
        <is>
          <t>MEAT</t>
        </is>
      </c>
      <c r="C258" s="4" t="inlineStr">
        <is>
          <t>FREEZER</t>
        </is>
      </c>
      <c r="D258" s="4" t="inlineStr"/>
      <c r="E258" s="4" t="inlineStr">
        <is>
          <t>Physically counted 2026-08-01</t>
        </is>
      </c>
      <c r="F258" s="4" t="inlineStr">
        <is>
          <t>2026-08-01</t>
        </is>
      </c>
      <c r="G258" s="5" t="n">
        <v>0</v>
      </c>
      <c r="H258" s="4" t="inlineStr">
        <is>
          <t>kg</t>
        </is>
      </c>
      <c r="I258" s="5" t="n">
        <v>0</v>
      </c>
      <c r="J258" s="4" t="inlineStr">
        <is>
          <t>g</t>
        </is>
      </c>
      <c r="K258" s="6" t="n">
        <v>0.0339</v>
      </c>
      <c r="L258" s="6" t="n">
        <v>0.0339</v>
      </c>
      <c r="M258" s="7">
        <f>I258*K258</f>
        <v/>
      </c>
      <c r="N258" s="7">
        <f>I258*L258</f>
        <v/>
      </c>
      <c r="O258" s="7">
        <f>N258-M258</f>
        <v/>
      </c>
      <c r="P258" s="7" t="n">
        <v>33.9</v>
      </c>
      <c r="Q258" s="4" t="inlineStr">
        <is>
          <t>kg</t>
        </is>
      </c>
      <c r="R258" s="4" t="inlineStr">
        <is>
          <t>1 each → 100 each</t>
        </is>
      </c>
    </row>
    <row r="259">
      <c r="A259" s="4" t="inlineStr">
        <is>
          <t>Nduja</t>
        </is>
      </c>
      <c r="B259" s="4" t="inlineStr">
        <is>
          <t>MEAT</t>
        </is>
      </c>
      <c r="C259" s="4" t="inlineStr">
        <is>
          <t>FREEZER</t>
        </is>
      </c>
      <c r="D259" s="4" t="inlineStr"/>
      <c r="E259" s="4" t="inlineStr">
        <is>
          <t>Physically counted 2026-08-01</t>
        </is>
      </c>
      <c r="F259" s="4" t="inlineStr">
        <is>
          <t>2026-08-01</t>
        </is>
      </c>
      <c r="G259" s="5" t="n">
        <v>6</v>
      </c>
      <c r="H259" s="4" t="inlineStr">
        <is>
          <t>kg</t>
        </is>
      </c>
      <c r="I259" s="5" t="n">
        <v>6000</v>
      </c>
      <c r="J259" s="4" t="inlineStr">
        <is>
          <t>g</t>
        </is>
      </c>
      <c r="K259" s="6" t="n">
        <v>0.04720100883613468</v>
      </c>
      <c r="L259" s="6" t="n">
        <v>0.04720100883613468</v>
      </c>
      <c r="M259" s="7">
        <f>I259*K259</f>
        <v/>
      </c>
      <c r="N259" s="7">
        <f>I259*L259</f>
        <v/>
      </c>
      <c r="O259" s="7">
        <f>N259-M259</f>
        <v/>
      </c>
      <c r="P259" s="7" t="n">
        <v>47.20100883613468</v>
      </c>
      <c r="Q259" s="4" t="inlineStr">
        <is>
          <t>kg</t>
        </is>
      </c>
      <c r="R259" s="4" t="inlineStr">
        <is>
          <t>1 each → 450 each</t>
        </is>
      </c>
    </row>
    <row r="260">
      <c r="A260" s="4" t="inlineStr">
        <is>
          <t>Pigs Blood</t>
        </is>
      </c>
      <c r="B260" s="4" t="inlineStr">
        <is>
          <t>MEAT</t>
        </is>
      </c>
      <c r="C260" s="4" t="inlineStr"/>
      <c r="D260" s="4" t="inlineStr"/>
      <c r="E260" s="4" t="inlineStr">
        <is>
          <t>Physically counted 2026-08-01</t>
        </is>
      </c>
      <c r="F260" s="4" t="inlineStr">
        <is>
          <t>2026-08-01</t>
        </is>
      </c>
      <c r="G260" s="5" t="n">
        <v>20</v>
      </c>
      <c r="H260" s="4" t="inlineStr">
        <is>
          <t>kg</t>
        </is>
      </c>
      <c r="I260" s="5" t="n">
        <v>20000</v>
      </c>
      <c r="J260" s="4" t="inlineStr">
        <is>
          <t>g</t>
        </is>
      </c>
      <c r="K260" s="6" t="n">
        <v>0.006305225841725604</v>
      </c>
      <c r="L260" s="6" t="n">
        <v>0.006305225841725604</v>
      </c>
      <c r="M260" s="7">
        <f>I260*K260</f>
        <v/>
      </c>
      <c r="N260" s="7">
        <f>I260*L260</f>
        <v/>
      </c>
      <c r="O260" s="7">
        <f>N260-M260</f>
        <v/>
      </c>
      <c r="P260" s="7" t="n">
        <v>6.305225841725603</v>
      </c>
      <c r="Q260" s="4" t="inlineStr">
        <is>
          <t>kg</t>
        </is>
      </c>
      <c r="R260" s="4" t="inlineStr">
        <is>
          <t>2267.96 case</t>
        </is>
      </c>
    </row>
    <row r="261">
      <c r="A261" s="4" t="inlineStr">
        <is>
          <t>Pork Back Ribs</t>
        </is>
      </c>
      <c r="B261" s="4" t="inlineStr">
        <is>
          <t>MEAT</t>
        </is>
      </c>
      <c r="C261" s="4" t="inlineStr">
        <is>
          <t>CATERING</t>
        </is>
      </c>
      <c r="D261" s="4" t="inlineStr">
        <is>
          <t>Sysco</t>
        </is>
      </c>
      <c r="E261" s="4" t="inlineStr">
        <is>
          <t>Physically counted 2026-08-01</t>
        </is>
      </c>
      <c r="F261" s="4" t="inlineStr">
        <is>
          <t>2026-08-01</t>
        </is>
      </c>
      <c r="G261" s="5" t="n">
        <v>0</v>
      </c>
      <c r="H261" s="4" t="inlineStr">
        <is>
          <t>kg</t>
        </is>
      </c>
      <c r="I261" s="5" t="n">
        <v>0</v>
      </c>
      <c r="J261" s="4" t="inlineStr">
        <is>
          <t>g</t>
        </is>
      </c>
      <c r="K261" s="6" t="n">
        <v>0.02239647577092511</v>
      </c>
      <c r="L261" s="6" t="n">
        <v>0.0159</v>
      </c>
      <c r="M261" s="7">
        <f>I261*K261</f>
        <v/>
      </c>
      <c r="N261" s="7">
        <f>I261*L261</f>
        <v/>
      </c>
      <c r="O261" s="7">
        <f>N261-M261</f>
        <v/>
      </c>
      <c r="P261" s="7" t="n">
        <v>15.9</v>
      </c>
      <c r="Q261" s="4" t="inlineStr">
        <is>
          <t>kg</t>
        </is>
      </c>
      <c r="R261" s="4" t="inlineStr">
        <is>
          <t>1 case → 4540 each</t>
        </is>
      </c>
    </row>
    <row r="262">
      <c r="A262" s="4" t="inlineStr">
        <is>
          <t>pork belly</t>
        </is>
      </c>
      <c r="B262" s="4" t="inlineStr">
        <is>
          <t>MEAT</t>
        </is>
      </c>
      <c r="C262" s="4" t="inlineStr">
        <is>
          <t>CATERING</t>
        </is>
      </c>
      <c r="D262" s="4" t="inlineStr">
        <is>
          <t>Legends Haul</t>
        </is>
      </c>
      <c r="E262" s="4" t="inlineStr">
        <is>
          <t>Physically counted 2026-08-01</t>
        </is>
      </c>
      <c r="F262" s="4" t="inlineStr">
        <is>
          <t>2026-08-01</t>
        </is>
      </c>
      <c r="G262" s="5" t="n">
        <v>0</v>
      </c>
      <c r="H262" s="4" t="inlineStr">
        <is>
          <t>kg</t>
        </is>
      </c>
      <c r="I262" s="5" t="n">
        <v>0</v>
      </c>
      <c r="J262" s="4" t="inlineStr">
        <is>
          <t>g</t>
        </is>
      </c>
      <c r="K262" s="6" t="n">
        <v>0.01253</v>
      </c>
      <c r="L262" s="6" t="n">
        <v>0.01253</v>
      </c>
      <c r="M262" s="7">
        <f>I262*K262</f>
        <v/>
      </c>
      <c r="N262" s="7">
        <f>I262*L262</f>
        <v/>
      </c>
      <c r="O262" s="7">
        <f>N262-M262</f>
        <v/>
      </c>
      <c r="P262" s="7" t="n">
        <v>12.53</v>
      </c>
      <c r="Q262" s="4" t="inlineStr">
        <is>
          <t>kg</t>
        </is>
      </c>
      <c r="R262" s="4" t="inlineStr">
        <is>
          <t>1000 case</t>
        </is>
      </c>
    </row>
    <row r="263">
      <c r="A263" s="4" t="inlineStr">
        <is>
          <t>Pork Butt</t>
        </is>
      </c>
      <c r="B263" s="4" t="inlineStr">
        <is>
          <t>MEAT</t>
        </is>
      </c>
      <c r="C263" s="4" t="inlineStr">
        <is>
          <t>FRIDGE</t>
        </is>
      </c>
      <c r="D263" s="4" t="inlineStr"/>
      <c r="E263" s="4" t="inlineStr">
        <is>
          <t>Physically counted 2026-08-01</t>
        </is>
      </c>
      <c r="F263" s="4" t="inlineStr">
        <is>
          <t>2026-08-01</t>
        </is>
      </c>
      <c r="G263" s="5" t="n">
        <v>45.4</v>
      </c>
      <c r="H263" s="4" t="inlineStr">
        <is>
          <t>kg</t>
        </is>
      </c>
      <c r="I263" s="5" t="n">
        <v>45400</v>
      </c>
      <c r="J263" s="4" t="inlineStr">
        <is>
          <t>g</t>
        </is>
      </c>
      <c r="K263" s="6" t="n">
        <v>0.009990000000000001</v>
      </c>
      <c r="L263" s="6" t="n">
        <v>0.009990000000000001</v>
      </c>
      <c r="M263" s="7">
        <f>I263*K263</f>
        <v/>
      </c>
      <c r="N263" s="7">
        <f>I263*L263</f>
        <v/>
      </c>
      <c r="O263" s="7">
        <f>N263-M263</f>
        <v/>
      </c>
      <c r="P263" s="7" t="n">
        <v>9.99</v>
      </c>
      <c r="Q263" s="4" t="inlineStr">
        <is>
          <t>kg</t>
        </is>
      </c>
      <c r="R263" s="4" t="inlineStr">
        <is>
          <t>6 case</t>
        </is>
      </c>
    </row>
    <row r="264">
      <c r="A264" s="4" t="inlineStr">
        <is>
          <t>Pork Fat</t>
        </is>
      </c>
      <c r="B264" s="4" t="inlineStr">
        <is>
          <t>MEAT</t>
        </is>
      </c>
      <c r="C264" s="4" t="inlineStr">
        <is>
          <t>FREEZER</t>
        </is>
      </c>
      <c r="D264" s="4" t="inlineStr"/>
      <c r="E264" s="4" t="inlineStr">
        <is>
          <t>Physically counted 2026-08-01</t>
        </is>
      </c>
      <c r="F264" s="4" t="inlineStr">
        <is>
          <t>2026-08-01</t>
        </is>
      </c>
      <c r="G264" s="5" t="n">
        <v>4</v>
      </c>
      <c r="H264" s="4" t="inlineStr">
        <is>
          <t>kg</t>
        </is>
      </c>
      <c r="I264" s="5" t="n">
        <v>4000</v>
      </c>
      <c r="J264" s="4" t="inlineStr">
        <is>
          <t>g</t>
        </is>
      </c>
      <c r="K264" s="6" t="n">
        <v>0.006878428190973386</v>
      </c>
      <c r="L264" s="6" t="n">
        <v>0.006878428190973386</v>
      </c>
      <c r="M264" s="7">
        <f>I264*K264</f>
        <v/>
      </c>
      <c r="N264" s="7">
        <f>I264*L264</f>
        <v/>
      </c>
      <c r="O264" s="7">
        <f>N264-M264</f>
        <v/>
      </c>
      <c r="P264" s="7" t="n">
        <v>6.878428190973386</v>
      </c>
      <c r="Q264" s="4" t="inlineStr">
        <is>
          <t>kg</t>
        </is>
      </c>
      <c r="R264" s="4" t="inlineStr">
        <is>
          <t>1000 each</t>
        </is>
      </c>
    </row>
    <row r="265">
      <c r="A265" s="4" t="inlineStr">
        <is>
          <t>Pork Tenderloin</t>
        </is>
      </c>
      <c r="B265" s="4" t="inlineStr">
        <is>
          <t>MEAT</t>
        </is>
      </c>
      <c r="C265" s="4" t="inlineStr">
        <is>
          <t>CATERING</t>
        </is>
      </c>
      <c r="D265" s="4" t="inlineStr">
        <is>
          <t>Legends Haul</t>
        </is>
      </c>
      <c r="E265" s="4" t="inlineStr">
        <is>
          <t>Physically counted 2026-08-01</t>
        </is>
      </c>
      <c r="F265" s="4" t="inlineStr">
        <is>
          <t>2026-08-01</t>
        </is>
      </c>
      <c r="G265" s="5" t="n">
        <v>0</v>
      </c>
      <c r="H265" s="4" t="inlineStr">
        <is>
          <t>kg</t>
        </is>
      </c>
      <c r="I265" s="5" t="n">
        <v>0</v>
      </c>
      <c r="J265" s="4" t="inlineStr">
        <is>
          <t>g</t>
        </is>
      </c>
      <c r="K265" s="6" t="n">
        <v>0.009776999999999999</v>
      </c>
      <c r="L265" s="6" t="n">
        <v>0.009776999999999999</v>
      </c>
      <c r="M265" s="7">
        <f>I265*K265</f>
        <v/>
      </c>
      <c r="N265" s="7">
        <f>I265*L265</f>
        <v/>
      </c>
      <c r="O265" s="7">
        <f>N265-M265</f>
        <v/>
      </c>
      <c r="P265" s="7" t="n">
        <v>9.776999999999999</v>
      </c>
      <c r="Q265" s="4" t="inlineStr">
        <is>
          <t>kg</t>
        </is>
      </c>
      <c r="R265" s="4" t="inlineStr">
        <is>
          <t>1000 case</t>
        </is>
      </c>
    </row>
    <row r="266">
      <c r="A266" s="4" t="inlineStr">
        <is>
          <t>Prosciutto di Parma 6 kg LEOCINI</t>
        </is>
      </c>
      <c r="B266" s="4" t="inlineStr">
        <is>
          <t>MEAT</t>
        </is>
      </c>
      <c r="C266" s="4" t="inlineStr"/>
      <c r="D266" s="4" t="inlineStr">
        <is>
          <t>Legends Haul</t>
        </is>
      </c>
      <c r="E266" s="4" t="inlineStr">
        <is>
          <t>Physically counted 2026-08-01</t>
        </is>
      </c>
      <c r="F266" s="4" t="inlineStr">
        <is>
          <t>2026-08-01</t>
        </is>
      </c>
      <c r="G266" s="5" t="n">
        <v>7.2</v>
      </c>
      <c r="H266" s="4" t="inlineStr">
        <is>
          <t>kg</t>
        </is>
      </c>
      <c r="I266" s="5" t="n">
        <v>7200</v>
      </c>
      <c r="J266" s="4" t="inlineStr">
        <is>
          <t>g</t>
        </is>
      </c>
      <c r="K266" s="6" t="n">
        <v>0.044</v>
      </c>
      <c r="L266" s="6" t="n">
        <v>0.044</v>
      </c>
      <c r="M266" s="7">
        <f>I266*K266</f>
        <v/>
      </c>
      <c r="N266" s="7">
        <f>I266*L266</f>
        <v/>
      </c>
      <c r="O266" s="7">
        <f>N266-M266</f>
        <v/>
      </c>
      <c r="P266" s="7" t="n">
        <v>44</v>
      </c>
      <c r="Q266" s="4" t="inlineStr">
        <is>
          <t>kg</t>
        </is>
      </c>
      <c r="R266" s="4" t="inlineStr">
        <is>
          <t>6000 each</t>
        </is>
      </c>
    </row>
    <row r="267">
      <c r="A267" s="4" t="inlineStr">
        <is>
          <t>Salami Genoa</t>
        </is>
      </c>
      <c r="B267" s="4" t="inlineStr">
        <is>
          <t>MEAT</t>
        </is>
      </c>
      <c r="C267" s="4" t="inlineStr">
        <is>
          <t>FRIDGE</t>
        </is>
      </c>
      <c r="D267" s="4" t="inlineStr"/>
      <c r="E267" s="4" t="inlineStr">
        <is>
          <t>Physically counted 2026-08-01</t>
        </is>
      </c>
      <c r="F267" s="4" t="inlineStr">
        <is>
          <t>2026-08-01</t>
        </is>
      </c>
      <c r="G267" s="5" t="n">
        <v>0</v>
      </c>
      <c r="H267" s="4" t="inlineStr">
        <is>
          <t>kg</t>
        </is>
      </c>
      <c r="I267" s="5" t="n">
        <v>0</v>
      </c>
      <c r="J267" s="4" t="inlineStr">
        <is>
          <t>g</t>
        </is>
      </c>
      <c r="K267" s="6" t="n">
        <v>0.0693354380147798</v>
      </c>
      <c r="L267" s="6" t="n">
        <v>0.0693354380147798</v>
      </c>
      <c r="M267" s="7">
        <f>I267*K267</f>
        <v/>
      </c>
      <c r="N267" s="7">
        <f>I267*L267</f>
        <v/>
      </c>
      <c r="O267" s="7">
        <f>N267-M267</f>
        <v/>
      </c>
      <c r="P267" s="7" t="n">
        <v>69.3354380147798</v>
      </c>
      <c r="Q267" s="4" t="inlineStr">
        <is>
          <t>kg</t>
        </is>
      </c>
      <c r="R267" s="4" t="inlineStr">
        <is>
          <t>1 case → 100 each</t>
        </is>
      </c>
    </row>
    <row r="268">
      <c r="A268" s="4" t="inlineStr">
        <is>
          <t>Sausage Apple banger</t>
        </is>
      </c>
      <c r="B268" s="4" t="inlineStr">
        <is>
          <t>MEAT</t>
        </is>
      </c>
      <c r="C268" s="4" t="inlineStr"/>
      <c r="D268" s="4" t="inlineStr"/>
      <c r="E268" s="4" t="inlineStr">
        <is>
          <t>Physically counted 2026-08-01</t>
        </is>
      </c>
      <c r="F268" s="4" t="inlineStr">
        <is>
          <t>2026-08-01</t>
        </is>
      </c>
      <c r="G268" s="5" t="n">
        <v>0</v>
      </c>
      <c r="H268" s="4" t="inlineStr">
        <is>
          <t>kg</t>
        </is>
      </c>
      <c r="I268" s="5" t="n">
        <v>0</v>
      </c>
      <c r="J268" s="4" t="inlineStr">
        <is>
          <t>g</t>
        </is>
      </c>
      <c r="K268" s="6" t="n">
        <v>0.01444028995220374</v>
      </c>
      <c r="L268" s="6" t="n">
        <v>0.01444028995220374</v>
      </c>
      <c r="M268" s="7">
        <f>I268*K268</f>
        <v/>
      </c>
      <c r="N268" s="7">
        <f>I268*L268</f>
        <v/>
      </c>
      <c r="O268" s="7">
        <f>N268-M268</f>
        <v/>
      </c>
      <c r="P268" s="7" t="n">
        <v>14.44028995220374</v>
      </c>
      <c r="Q268" s="4" t="inlineStr">
        <is>
          <t>kg</t>
        </is>
      </c>
      <c r="R268" s="4" t="inlineStr">
        <is>
          <t>453.592 case</t>
        </is>
      </c>
    </row>
    <row r="269">
      <c r="A269" s="4" t="inlineStr">
        <is>
          <t>Sausage BaconPorkHerb RTL 8x4/cs LEGENDS</t>
        </is>
      </c>
      <c r="B269" s="4" t="inlineStr">
        <is>
          <t>MEAT</t>
        </is>
      </c>
      <c r="C269" s="4" t="inlineStr"/>
      <c r="D269" s="4" t="inlineStr">
        <is>
          <t>Legends Haul</t>
        </is>
      </c>
      <c r="E269" s="4" t="inlineStr">
        <is>
          <t>Physically counted 2026-08-01</t>
        </is>
      </c>
      <c r="F269" s="4" t="inlineStr">
        <is>
          <t>2026-08-01</t>
        </is>
      </c>
      <c r="G269" s="5" t="n">
        <v>5</v>
      </c>
      <c r="H269" s="4" t="inlineStr">
        <is>
          <t>case</t>
        </is>
      </c>
      <c r="I269" s="5" t="n">
        <v>35000</v>
      </c>
      <c r="J269" s="4" t="inlineStr">
        <is>
          <t>g</t>
        </is>
      </c>
      <c r="K269" s="6" t="n">
        <v>0.016272</v>
      </c>
      <c r="L269" s="6" t="n">
        <v>0.01595</v>
      </c>
      <c r="M269" s="7">
        <f>I269*K269</f>
        <v/>
      </c>
      <c r="N269" s="7">
        <f>I269*L269</f>
        <v/>
      </c>
      <c r="O269" s="7">
        <f>N269-M269</f>
        <v/>
      </c>
      <c r="P269" s="7" t="n">
        <v>15.95</v>
      </c>
      <c r="Q269" s="4" t="inlineStr">
        <is>
          <t>kg</t>
        </is>
      </c>
      <c r="R269" s="4" t="inlineStr">
        <is>
          <t>7000 case</t>
        </is>
      </c>
    </row>
    <row r="270">
      <c r="A270" s="4" t="inlineStr">
        <is>
          <t>Slab Bacon</t>
        </is>
      </c>
      <c r="B270" s="4" t="inlineStr">
        <is>
          <t>MEAT</t>
        </is>
      </c>
      <c r="C270" s="4" t="inlineStr">
        <is>
          <t>FRIDGE</t>
        </is>
      </c>
      <c r="D270" s="4" t="inlineStr">
        <is>
          <t>Legends Haul</t>
        </is>
      </c>
      <c r="E270" s="4" t="inlineStr">
        <is>
          <t>Physically counted 2026-08-01</t>
        </is>
      </c>
      <c r="F270" s="4" t="inlineStr">
        <is>
          <t>2026-08-01</t>
        </is>
      </c>
      <c r="G270" s="5" t="n">
        <v>18.4</v>
      </c>
      <c r="H270" s="4" t="inlineStr">
        <is>
          <t>kg</t>
        </is>
      </c>
      <c r="I270" s="5" t="n">
        <v>18400</v>
      </c>
      <c r="J270" s="4" t="inlineStr">
        <is>
          <t>g</t>
        </is>
      </c>
      <c r="K270" s="6" t="n">
        <v>0.01699</v>
      </c>
      <c r="L270" s="6" t="n">
        <v>0.01699</v>
      </c>
      <c r="M270" s="7">
        <f>I270*K270</f>
        <v/>
      </c>
      <c r="N270" s="7">
        <f>I270*L270</f>
        <v/>
      </c>
      <c r="O270" s="7">
        <f>N270-M270</f>
        <v/>
      </c>
      <c r="P270" s="7" t="n">
        <v>16.99</v>
      </c>
      <c r="Q270" s="4" t="inlineStr">
        <is>
          <t>kg</t>
        </is>
      </c>
      <c r="R270" s="4" t="inlineStr">
        <is>
          <t>4000 case</t>
        </is>
      </c>
    </row>
    <row r="271">
      <c r="A271" s="4" t="inlineStr">
        <is>
          <t>Veal Bones</t>
        </is>
      </c>
      <c r="B271" s="4" t="inlineStr">
        <is>
          <t>MEAT</t>
        </is>
      </c>
      <c r="C271" s="4" t="inlineStr"/>
      <c r="D271" s="4" t="inlineStr">
        <is>
          <t>Sysco</t>
        </is>
      </c>
      <c r="E271" s="4" t="inlineStr">
        <is>
          <t>Physically counted 2026-08-01</t>
        </is>
      </c>
      <c r="F271" s="4" t="inlineStr">
        <is>
          <t>2026-08-01</t>
        </is>
      </c>
      <c r="G271" s="5" t="n">
        <v>1</v>
      </c>
      <c r="H271" s="4" t="inlineStr">
        <is>
          <t>each</t>
        </is>
      </c>
      <c r="I271" s="5" t="n">
        <v>22679.6</v>
      </c>
      <c r="J271" s="4" t="inlineStr">
        <is>
          <t>g</t>
        </is>
      </c>
      <c r="K271" s="6" t="n">
        <v>0.006761142171819609</v>
      </c>
      <c r="L271" s="6" t="n">
        <v>0.006761142171819609</v>
      </c>
      <c r="M271" s="7">
        <f>I271*K271</f>
        <v/>
      </c>
      <c r="N271" s="7">
        <f>I271*L271</f>
        <v/>
      </c>
      <c r="O271" s="7">
        <f>N271-M271</f>
        <v/>
      </c>
      <c r="P271" s="7" t="n">
        <v>6.76114217181961</v>
      </c>
      <c r="Q271" s="4" t="inlineStr">
        <is>
          <t>kg</t>
        </is>
      </c>
      <c r="R271" s="4" t="inlineStr">
        <is>
          <t>1 each → 22679.6 each</t>
        </is>
      </c>
    </row>
    <row r="272">
      <c r="A272" s="4" t="inlineStr">
        <is>
          <t>Adobo Pulled Pork</t>
        </is>
      </c>
      <c r="B272" s="4" t="inlineStr">
        <is>
          <t>PREPD</t>
        </is>
      </c>
      <c r="C272" s="4" t="inlineStr"/>
      <c r="D272" s="4" t="inlineStr"/>
      <c r="E272" s="4" t="inlineStr">
        <is>
          <t>Physically counted 2026-08-01</t>
        </is>
      </c>
      <c r="F272" s="4" t="inlineStr">
        <is>
          <t>2026-08-01</t>
        </is>
      </c>
      <c r="G272" s="5" t="n">
        <v>0</v>
      </c>
      <c r="H272" s="4" t="inlineStr">
        <is>
          <t>batch</t>
        </is>
      </c>
      <c r="I272" s="5" t="n">
        <v>0</v>
      </c>
      <c r="J272" s="4" t="inlineStr">
        <is>
          <t>ml</t>
        </is>
      </c>
      <c r="K272" s="6" t="n">
        <v>0.004484621455752629</v>
      </c>
      <c r="L272" s="6" t="n">
        <v>0.004485569444253309</v>
      </c>
      <c r="M272" s="7">
        <f>I272*K272</f>
        <v/>
      </c>
      <c r="N272" s="7">
        <f>I272*L272</f>
        <v/>
      </c>
      <c r="O272" s="7">
        <f>N272-M272</f>
        <v/>
      </c>
      <c r="P272" s="7" t="n">
        <v>4.485569444253309</v>
      </c>
      <c r="Q272" s="4" t="inlineStr">
        <is>
          <t>L</t>
        </is>
      </c>
      <c r="R272" s="4" t="inlineStr">
        <is>
          <t>6000 batch</t>
        </is>
      </c>
    </row>
    <row r="273">
      <c r="A273" s="4" t="inlineStr">
        <is>
          <t>Bacon Jam</t>
        </is>
      </c>
      <c r="B273" s="4" t="inlineStr">
        <is>
          <t>PREPD</t>
        </is>
      </c>
      <c r="C273" s="4" t="inlineStr"/>
      <c r="D273" s="4" t="inlineStr"/>
      <c r="E273" s="4" t="inlineStr">
        <is>
          <t>Physically counted 2026-08-01</t>
        </is>
      </c>
      <c r="F273" s="4" t="inlineStr">
        <is>
          <t>2026-08-01</t>
        </is>
      </c>
      <c r="G273" s="5" t="n">
        <v>0.4260263361735089</v>
      </c>
      <c r="H273" s="4" t="inlineStr">
        <is>
          <t>batch</t>
        </is>
      </c>
      <c r="I273" s="5" t="n">
        <v>5500</v>
      </c>
      <c r="J273" s="4" t="inlineStr">
        <is>
          <t>g</t>
        </is>
      </c>
      <c r="K273" s="6" t="n">
        <v>0.01381638132869454</v>
      </c>
      <c r="L273" s="6" t="n">
        <v>0.01380728534602093</v>
      </c>
      <c r="M273" s="7">
        <f>I273*K273</f>
        <v/>
      </c>
      <c r="N273" s="7">
        <f>I273*L273</f>
        <v/>
      </c>
      <c r="O273" s="7">
        <f>N273-M273</f>
        <v/>
      </c>
      <c r="P273" s="7" t="n">
        <v>13.80728534602093</v>
      </c>
      <c r="Q273" s="4" t="inlineStr">
        <is>
          <t>kg</t>
        </is>
      </c>
      <c r="R273" s="4" t="inlineStr">
        <is>
          <t>12910 batch</t>
        </is>
      </c>
    </row>
    <row r="274">
      <c r="A274" s="4" t="inlineStr">
        <is>
          <t>BBQ Sauce</t>
        </is>
      </c>
      <c r="B274" s="4" t="inlineStr">
        <is>
          <t>PREPD</t>
        </is>
      </c>
      <c r="C274" s="4" t="inlineStr"/>
      <c r="D274" s="4" t="inlineStr"/>
      <c r="E274" s="4" t="inlineStr">
        <is>
          <t>Physically counted 2026-08-01</t>
        </is>
      </c>
      <c r="F274" s="4" t="inlineStr">
        <is>
          <t>2026-08-01</t>
        </is>
      </c>
      <c r="G274" s="5" t="n">
        <v>0.75</v>
      </c>
      <c r="H274" s="4" t="inlineStr">
        <is>
          <t>batch</t>
        </is>
      </c>
      <c r="I274" s="5" t="n">
        <v>3000</v>
      </c>
      <c r="J274" s="4" t="inlineStr">
        <is>
          <t>g</t>
        </is>
      </c>
      <c r="K274" s="6" t="n">
        <v>0.003797732045031548</v>
      </c>
      <c r="L274" s="6" t="n">
        <v>0.00361606980517043</v>
      </c>
      <c r="M274" s="7">
        <f>I274*K274</f>
        <v/>
      </c>
      <c r="N274" s="7">
        <f>I274*L274</f>
        <v/>
      </c>
      <c r="O274" s="7">
        <f>N274-M274</f>
        <v/>
      </c>
      <c r="P274" s="7" t="n">
        <v>3.61606980517043</v>
      </c>
      <c r="Q274" s="4" t="inlineStr">
        <is>
          <t>kg</t>
        </is>
      </c>
      <c r="R274" s="4" t="inlineStr">
        <is>
          <t>4000 batch</t>
        </is>
      </c>
    </row>
    <row r="275">
      <c r="A275" s="4" t="inlineStr">
        <is>
          <t>Bean Puree</t>
        </is>
      </c>
      <c r="B275" s="4" t="inlineStr">
        <is>
          <t>PREPD</t>
        </is>
      </c>
      <c r="C275" s="4" t="inlineStr"/>
      <c r="D275" s="4" t="inlineStr"/>
      <c r="E275" s="4" t="inlineStr">
        <is>
          <t>Physically counted 2026-07-31</t>
        </is>
      </c>
      <c r="F275" s="4" t="inlineStr">
        <is>
          <t>2026-07-31</t>
        </is>
      </c>
      <c r="G275" s="5" t="n">
        <v>6</v>
      </c>
      <c r="H275" s="4" t="inlineStr">
        <is>
          <t>kg</t>
        </is>
      </c>
      <c r="I275" s="5" t="n">
        <v>6000</v>
      </c>
      <c r="J275" s="4" t="inlineStr">
        <is>
          <t>g</t>
        </is>
      </c>
      <c r="K275" s="6" t="n">
        <v>0.004106017930192897</v>
      </c>
      <c r="L275" s="6" t="n">
        <v>0.004693783190238733</v>
      </c>
      <c r="M275" s="7">
        <f>I275*K275</f>
        <v/>
      </c>
      <c r="N275" s="7">
        <f>I275*L275</f>
        <v/>
      </c>
      <c r="O275" s="7">
        <f>N275-M275</f>
        <v/>
      </c>
      <c r="P275" s="7" t="n">
        <v>4.693783190238733</v>
      </c>
      <c r="Q275" s="4" t="inlineStr">
        <is>
          <t>kg</t>
        </is>
      </c>
      <c r="R275" s="4" t="inlineStr">
        <is>
          <t>11000 batch</t>
        </is>
      </c>
    </row>
    <row r="276">
      <c r="A276" s="4" t="inlineStr">
        <is>
          <t>Beef Tallow</t>
        </is>
      </c>
      <c r="B276" s="4" t="inlineStr">
        <is>
          <t>PREPD</t>
        </is>
      </c>
      <c r="C276" s="4" t="inlineStr"/>
      <c r="D276" s="4" t="inlineStr"/>
      <c r="E276" s="4" t="inlineStr">
        <is>
          <t>Physically counted 2026-07-31</t>
        </is>
      </c>
      <c r="F276" s="4" t="inlineStr">
        <is>
          <t>2026-07-31</t>
        </is>
      </c>
      <c r="G276" s="5" t="n">
        <v>3</v>
      </c>
      <c r="H276" s="4" t="inlineStr">
        <is>
          <t>kg</t>
        </is>
      </c>
      <c r="I276" s="5" t="n">
        <v>3000</v>
      </c>
      <c r="J276" s="4" t="inlineStr">
        <is>
          <t>g</t>
        </is>
      </c>
      <c r="K276" s="6" t="n">
        <v>0</v>
      </c>
      <c r="L276" s="6" t="n">
        <v>0</v>
      </c>
      <c r="M276" s="7">
        <f>I276*K276</f>
        <v/>
      </c>
      <c r="N276" s="7">
        <f>I276*L276</f>
        <v/>
      </c>
      <c r="O276" s="7">
        <f>N276-M276</f>
        <v/>
      </c>
      <c r="P276" s="7" t="n">
        <v>0</v>
      </c>
      <c r="Q276" s="4" t="inlineStr">
        <is>
          <t>kg</t>
        </is>
      </c>
      <c r="R276" s="4" t="inlineStr">
        <is>
          <t>1000 batch</t>
        </is>
      </c>
    </row>
    <row r="277">
      <c r="A277" s="4" t="inlineStr">
        <is>
          <t>Beef Tallow Aioli</t>
        </is>
      </c>
      <c r="B277" s="4" t="inlineStr">
        <is>
          <t>PREPD</t>
        </is>
      </c>
      <c r="C277" s="4" t="inlineStr"/>
      <c r="D277" s="4" t="inlineStr"/>
      <c r="E277" s="4" t="inlineStr">
        <is>
          <t>Physically counted 2026-07-31</t>
        </is>
      </c>
      <c r="F277" s="4" t="inlineStr">
        <is>
          <t>2026-07-31</t>
        </is>
      </c>
      <c r="G277" s="5" t="n">
        <v>2</v>
      </c>
      <c r="H277" s="4" t="inlineStr">
        <is>
          <t>kg</t>
        </is>
      </c>
      <c r="I277" s="5" t="n">
        <v>2000</v>
      </c>
      <c r="J277" s="4" t="inlineStr">
        <is>
          <t>g</t>
        </is>
      </c>
      <c r="K277" s="6" t="n">
        <v>0.00371580166690838</v>
      </c>
      <c r="L277" s="6" t="n">
        <v>0.003447239079464493</v>
      </c>
      <c r="M277" s="7">
        <f>I277*K277</f>
        <v/>
      </c>
      <c r="N277" s="7">
        <f>I277*L277</f>
        <v/>
      </c>
      <c r="O277" s="7">
        <f>N277-M277</f>
        <v/>
      </c>
      <c r="P277" s="7" t="n">
        <v>3.447239079464493</v>
      </c>
      <c r="Q277" s="4" t="inlineStr">
        <is>
          <t>kg</t>
        </is>
      </c>
      <c r="R277" s="4" t="inlineStr">
        <is>
          <t>1000 batch</t>
        </is>
      </c>
    </row>
    <row r="278">
      <c r="A278" s="4" t="inlineStr">
        <is>
          <t>Blood Pudding (Rice Version)</t>
        </is>
      </c>
      <c r="B278" s="4" t="inlineStr">
        <is>
          <t>PREPD</t>
        </is>
      </c>
      <c r="C278" s="4" t="inlineStr"/>
      <c r="D278" s="4" t="inlineStr"/>
      <c r="E278" s="4" t="inlineStr">
        <is>
          <t>Physically counted 2026-07-31</t>
        </is>
      </c>
      <c r="F278" s="4" t="inlineStr">
        <is>
          <t>2026-07-31</t>
        </is>
      </c>
      <c r="G278" s="5" t="n">
        <v>3</v>
      </c>
      <c r="H278" s="4" t="inlineStr">
        <is>
          <t>kg</t>
        </is>
      </c>
      <c r="I278" s="5" t="n">
        <v>3000</v>
      </c>
      <c r="J278" s="4" t="inlineStr">
        <is>
          <t>g</t>
        </is>
      </c>
      <c r="K278" s="6" t="n">
        <v>0.007628135952728119</v>
      </c>
      <c r="L278" s="6" t="n">
        <v>0.004806380357160042</v>
      </c>
      <c r="M278" s="7">
        <f>I278*K278</f>
        <v/>
      </c>
      <c r="N278" s="7">
        <f>I278*L278</f>
        <v/>
      </c>
      <c r="O278" s="7">
        <f>N278-M278</f>
        <v/>
      </c>
      <c r="P278" s="7" t="n">
        <v>4.806380357160042</v>
      </c>
      <c r="Q278" s="4" t="inlineStr">
        <is>
          <t>kg</t>
        </is>
      </c>
      <c r="R278" s="4" t="inlineStr">
        <is>
          <t>4500 batch</t>
        </is>
      </c>
    </row>
    <row r="279">
      <c r="A279" s="4" t="inlineStr">
        <is>
          <t>Brioche French Toast Slice</t>
        </is>
      </c>
      <c r="B279" s="4" t="inlineStr">
        <is>
          <t>PREPD</t>
        </is>
      </c>
      <c r="C279" s="4" t="inlineStr"/>
      <c r="D279" s="4" t="inlineStr"/>
      <c r="E279" s="4" t="inlineStr">
        <is>
          <t>Physically counted 2026-07-31</t>
        </is>
      </c>
      <c r="F279" s="4" t="inlineStr">
        <is>
          <t>2026-07-31</t>
        </is>
      </c>
      <c r="G279" s="5" t="n">
        <v>1</v>
      </c>
      <c r="H279" s="4" t="inlineStr">
        <is>
          <t>batch</t>
        </is>
      </c>
      <c r="I279" s="5" t="n">
        <v>57</v>
      </c>
      <c r="J279" s="4" t="inlineStr">
        <is>
          <t>each</t>
        </is>
      </c>
      <c r="K279" s="6" t="n">
        <v>1.495676255690896</v>
      </c>
      <c r="L279" s="6" t="n">
        <v>1.497047966217212</v>
      </c>
      <c r="M279" s="7">
        <f>I279*K279</f>
        <v/>
      </c>
      <c r="N279" s="7">
        <f>I279*L279</f>
        <v/>
      </c>
      <c r="O279" s="7">
        <f>N279-M279</f>
        <v/>
      </c>
      <c r="P279" s="7" t="n">
        <v>1.497047966217212</v>
      </c>
      <c r="Q279" s="4" t="inlineStr">
        <is>
          <t>each</t>
        </is>
      </c>
      <c r="R279" s="4" t="inlineStr">
        <is>
          <t>57 batch</t>
        </is>
      </c>
    </row>
    <row r="280">
      <c r="A280" s="4" t="inlineStr">
        <is>
          <t>Burger Aioli</t>
        </is>
      </c>
      <c r="B280" s="4" t="inlineStr">
        <is>
          <t>PREPD</t>
        </is>
      </c>
      <c r="C280" s="4" t="inlineStr"/>
      <c r="D280" s="4" t="inlineStr"/>
      <c r="E280" s="4" t="inlineStr">
        <is>
          <t>Physically counted 2026-07-31</t>
        </is>
      </c>
      <c r="F280" s="4" t="inlineStr">
        <is>
          <t>2026-07-31</t>
        </is>
      </c>
      <c r="G280" s="5" t="n">
        <v>4</v>
      </c>
      <c r="H280" s="4" t="inlineStr">
        <is>
          <t>kg</t>
        </is>
      </c>
      <c r="I280" s="5" t="n">
        <v>4000</v>
      </c>
      <c r="J280" s="4" t="inlineStr">
        <is>
          <t>g</t>
        </is>
      </c>
      <c r="K280" s="6" t="n">
        <v>0.007596552239667747</v>
      </c>
      <c r="L280" s="6" t="n">
        <v>0.006724987765236079</v>
      </c>
      <c r="M280" s="7">
        <f>I280*K280</f>
        <v/>
      </c>
      <c r="N280" s="7">
        <f>I280*L280</f>
        <v/>
      </c>
      <c r="O280" s="7">
        <f>N280-M280</f>
        <v/>
      </c>
      <c r="P280" s="7" t="n">
        <v>6.724987765236079</v>
      </c>
      <c r="Q280" s="4" t="inlineStr">
        <is>
          <t>kg</t>
        </is>
      </c>
      <c r="R280" s="4" t="inlineStr">
        <is>
          <t>1300 batch</t>
        </is>
      </c>
    </row>
    <row r="281">
      <c r="A281" s="4" t="inlineStr">
        <is>
          <t>Buttermilk Biscuits</t>
        </is>
      </c>
      <c r="B281" s="4" t="inlineStr">
        <is>
          <t>PREPD</t>
        </is>
      </c>
      <c r="C281" s="4" t="inlineStr"/>
      <c r="D281" s="4" t="inlineStr"/>
      <c r="E281" s="4" t="inlineStr">
        <is>
          <t>Physically counted 2026-07-31</t>
        </is>
      </c>
      <c r="F281" s="4" t="inlineStr">
        <is>
          <t>2026-07-31</t>
        </is>
      </c>
      <c r="G281" s="5" t="n">
        <v>40</v>
      </c>
      <c r="H281" s="4" t="inlineStr">
        <is>
          <t>each</t>
        </is>
      </c>
      <c r="I281" s="5" t="n">
        <v>40</v>
      </c>
      <c r="J281" s="4" t="inlineStr">
        <is>
          <t>each</t>
        </is>
      </c>
      <c r="K281" s="6" t="n">
        <v>0.4721609815915562</v>
      </c>
      <c r="L281" s="6" t="n">
        <v>0.4721609815915562</v>
      </c>
      <c r="M281" s="7">
        <f>I281*K281</f>
        <v/>
      </c>
      <c r="N281" s="7">
        <f>I281*L281</f>
        <v/>
      </c>
      <c r="O281" s="7">
        <f>N281-M281</f>
        <v/>
      </c>
      <c r="P281" s="7" t="n">
        <v>0.4721609815915562</v>
      </c>
      <c r="Q281" s="4" t="inlineStr">
        <is>
          <t>each</t>
        </is>
      </c>
      <c r="R281" s="4" t="inlineStr">
        <is>
          <t>55 batch</t>
        </is>
      </c>
    </row>
    <row r="282">
      <c r="A282" s="4" t="inlineStr">
        <is>
          <t>Butternut Vegan Yolk</t>
        </is>
      </c>
      <c r="B282" s="4" t="inlineStr">
        <is>
          <t>PREPD</t>
        </is>
      </c>
      <c r="C282" s="4" t="inlineStr"/>
      <c r="D282" s="4" t="inlineStr"/>
      <c r="E282" s="4" t="inlineStr">
        <is>
          <t>Physically counted 2026-07-31</t>
        </is>
      </c>
      <c r="F282" s="4" t="inlineStr">
        <is>
          <t>2026-07-31</t>
        </is>
      </c>
      <c r="G282" s="5" t="n">
        <v>0.5</v>
      </c>
      <c r="H282" s="4" t="inlineStr">
        <is>
          <t>kg</t>
        </is>
      </c>
      <c r="I282" s="5" t="n">
        <v>500</v>
      </c>
      <c r="J282" s="4" t="inlineStr">
        <is>
          <t>g</t>
        </is>
      </c>
      <c r="K282" s="6" t="n">
        <v>0.00382020621088788</v>
      </c>
      <c r="L282" s="6" t="n">
        <v>0.00408945453031085</v>
      </c>
      <c r="M282" s="7">
        <f>I282*K282</f>
        <v/>
      </c>
      <c r="N282" s="7">
        <f>I282*L282</f>
        <v/>
      </c>
      <c r="O282" s="7">
        <f>N282-M282</f>
        <v/>
      </c>
      <c r="P282" s="7" t="n">
        <v>4.08945453031085</v>
      </c>
      <c r="Q282" s="4" t="inlineStr">
        <is>
          <t>kg</t>
        </is>
      </c>
      <c r="R282" s="4" t="inlineStr">
        <is>
          <t>1200 batch</t>
        </is>
      </c>
    </row>
    <row r="283">
      <c r="A283" s="4" t="inlineStr">
        <is>
          <t>Caesar Dressing</t>
        </is>
      </c>
      <c r="B283" s="4" t="inlineStr">
        <is>
          <t>PREPD</t>
        </is>
      </c>
      <c r="C283" s="4" t="inlineStr"/>
      <c r="D283" s="4" t="inlineStr"/>
      <c r="E283" s="4" t="inlineStr">
        <is>
          <t>Physically counted 2026-07-31</t>
        </is>
      </c>
      <c r="F283" s="4" t="inlineStr">
        <is>
          <t>2026-07-31</t>
        </is>
      </c>
      <c r="G283" s="5" t="n">
        <v>1.5</v>
      </c>
      <c r="H283" s="4" t="inlineStr">
        <is>
          <t>kg</t>
        </is>
      </c>
      <c r="I283" s="5" t="n">
        <v>1500</v>
      </c>
      <c r="J283" s="4" t="inlineStr">
        <is>
          <t>g</t>
        </is>
      </c>
      <c r="K283" s="6" t="n">
        <v>0.01281441402267781</v>
      </c>
      <c r="L283" s="6" t="n">
        <v>0.01281017527294971</v>
      </c>
      <c r="M283" s="7">
        <f>I283*K283</f>
        <v/>
      </c>
      <c r="N283" s="7">
        <f>I283*L283</f>
        <v/>
      </c>
      <c r="O283" s="7">
        <f>N283-M283</f>
        <v/>
      </c>
      <c r="P283" s="7" t="n">
        <v>12.81017527294971</v>
      </c>
      <c r="Q283" s="4" t="inlineStr">
        <is>
          <t>kg</t>
        </is>
      </c>
      <c r="R283" s="4" t="inlineStr">
        <is>
          <t>1000 batch</t>
        </is>
      </c>
    </row>
    <row r="284">
      <c r="A284" s="4" t="inlineStr">
        <is>
          <t>Charred Pesto</t>
        </is>
      </c>
      <c r="B284" s="4" t="inlineStr">
        <is>
          <t>PREPD</t>
        </is>
      </c>
      <c r="C284" s="4" t="inlineStr"/>
      <c r="D284" s="4" t="inlineStr"/>
      <c r="E284" s="4" t="inlineStr">
        <is>
          <t>Physically counted 2026-07-31</t>
        </is>
      </c>
      <c r="F284" s="4" t="inlineStr">
        <is>
          <t>2026-07-31</t>
        </is>
      </c>
      <c r="G284" s="5" t="n">
        <v>1</v>
      </c>
      <c r="H284" s="4" t="inlineStr">
        <is>
          <t>kg</t>
        </is>
      </c>
      <c r="I284" s="5" t="n">
        <v>1000</v>
      </c>
      <c r="J284" s="4" t="inlineStr">
        <is>
          <t>g</t>
        </is>
      </c>
      <c r="K284" s="6" t="n">
        <v>0.02665728686045762</v>
      </c>
      <c r="L284" s="6" t="n">
        <v>0.02651309370361183</v>
      </c>
      <c r="M284" s="7">
        <f>I284*K284</f>
        <v/>
      </c>
      <c r="N284" s="7">
        <f>I284*L284</f>
        <v/>
      </c>
      <c r="O284" s="7">
        <f>N284-M284</f>
        <v/>
      </c>
      <c r="P284" s="7" t="n">
        <v>26.51309370361183</v>
      </c>
      <c r="Q284" s="4" t="inlineStr">
        <is>
          <t>kg</t>
        </is>
      </c>
      <c r="R284" s="4" t="inlineStr">
        <is>
          <t>2500 batch</t>
        </is>
      </c>
    </row>
    <row r="285">
      <c r="A285" s="4" t="inlineStr">
        <is>
          <t>Citrus and Dill Curing Mix</t>
        </is>
      </c>
      <c r="B285" s="4" t="inlineStr">
        <is>
          <t>PREPD</t>
        </is>
      </c>
      <c r="C285" s="4" t="inlineStr"/>
      <c r="D285" s="4" t="inlineStr"/>
      <c r="E285" s="4" t="inlineStr">
        <is>
          <t>Physically counted 2026-07-31</t>
        </is>
      </c>
      <c r="F285" s="4" t="inlineStr">
        <is>
          <t>2026-07-31</t>
        </is>
      </c>
      <c r="G285" s="5" t="n">
        <v>0.3</v>
      </c>
      <c r="H285" s="4" t="inlineStr">
        <is>
          <t>kg</t>
        </is>
      </c>
      <c r="I285" s="5" t="n">
        <v>300</v>
      </c>
      <c r="J285" s="4" t="inlineStr">
        <is>
          <t>g</t>
        </is>
      </c>
      <c r="K285" s="6" t="n">
        <v>0.009210980933764566</v>
      </c>
      <c r="L285" s="6" t="n">
        <v>0.009205621008983086</v>
      </c>
      <c r="M285" s="7">
        <f>I285*K285</f>
        <v/>
      </c>
      <c r="N285" s="7">
        <f>I285*L285</f>
        <v/>
      </c>
      <c r="O285" s="7">
        <f>N285-M285</f>
        <v/>
      </c>
      <c r="P285" s="7" t="n">
        <v>9.205621008983085</v>
      </c>
      <c r="Q285" s="4" t="inlineStr">
        <is>
          <t>kg</t>
        </is>
      </c>
      <c r="R285" s="4" t="inlineStr">
        <is>
          <t>2000 batch</t>
        </is>
      </c>
    </row>
    <row r="286">
      <c r="A286" s="4" t="inlineStr">
        <is>
          <t>Clarified Butter (Ghee)</t>
        </is>
      </c>
      <c r="B286" s="4" t="inlineStr">
        <is>
          <t>PREPD</t>
        </is>
      </c>
      <c r="C286" s="4" t="inlineStr"/>
      <c r="D286" s="4" t="inlineStr"/>
      <c r="E286" s="4" t="inlineStr">
        <is>
          <t>Physically counted 2026-07-31</t>
        </is>
      </c>
      <c r="F286" s="4" t="inlineStr">
        <is>
          <t>2026-07-31</t>
        </is>
      </c>
      <c r="G286" s="5" t="n">
        <v>25</v>
      </c>
      <c r="H286" s="4" t="inlineStr">
        <is>
          <t>kg</t>
        </is>
      </c>
      <c r="I286" s="5" t="n">
        <v>25000</v>
      </c>
      <c r="J286" s="4" t="inlineStr">
        <is>
          <t>g</t>
        </is>
      </c>
      <c r="K286" s="6" t="n">
        <v>0.01902973568281938</v>
      </c>
      <c r="L286" s="6" t="n">
        <v>0.01902973568281938</v>
      </c>
      <c r="M286" s="7">
        <f>I286*K286</f>
        <v/>
      </c>
      <c r="N286" s="7">
        <f>I286*L286</f>
        <v/>
      </c>
      <c r="O286" s="7">
        <f>N286-M286</f>
        <v/>
      </c>
      <c r="P286" s="7" t="n">
        <v>19.02973568281938</v>
      </c>
      <c r="Q286" s="4" t="inlineStr">
        <is>
          <t>kg</t>
        </is>
      </c>
      <c r="R286" s="4" t="inlineStr">
        <is>
          <t>9071.84 batch</t>
        </is>
      </c>
    </row>
    <row r="287">
      <c r="A287" s="4" t="inlineStr">
        <is>
          <t>Coffee and Orange Maple Syrup (infused)</t>
        </is>
      </c>
      <c r="B287" s="4" t="inlineStr">
        <is>
          <t>PREPD</t>
        </is>
      </c>
      <c r="C287" s="4" t="inlineStr"/>
      <c r="D287" s="4" t="inlineStr"/>
      <c r="E287" s="4" t="inlineStr">
        <is>
          <t>Physically counted 2026-07-31</t>
        </is>
      </c>
      <c r="F287" s="4" t="inlineStr">
        <is>
          <t>2026-07-31</t>
        </is>
      </c>
      <c r="G287" s="5" t="n">
        <v>2</v>
      </c>
      <c r="H287" s="4" t="inlineStr">
        <is>
          <t>l</t>
        </is>
      </c>
      <c r="I287" s="5" t="n">
        <v>2000</v>
      </c>
      <c r="J287" s="4" t="inlineStr">
        <is>
          <t>ml</t>
        </is>
      </c>
      <c r="K287" s="6" t="n">
        <v>0.03099031352657005</v>
      </c>
      <c r="L287" s="6" t="n">
        <v>0.03099031352657005</v>
      </c>
      <c r="M287" s="7">
        <f>I287*K287</f>
        <v/>
      </c>
      <c r="N287" s="7">
        <f>I287*L287</f>
        <v/>
      </c>
      <c r="O287" s="7">
        <f>N287-M287</f>
        <v/>
      </c>
      <c r="P287" s="7" t="n">
        <v>30.99031352657005</v>
      </c>
      <c r="Q287" s="4" t="inlineStr">
        <is>
          <t>L</t>
        </is>
      </c>
      <c r="R287" s="4" t="inlineStr">
        <is>
          <t>4000 batch</t>
        </is>
      </c>
    </row>
    <row r="288">
      <c r="A288" s="4" t="inlineStr">
        <is>
          <t>Coffee Rub Mix (Brisket)</t>
        </is>
      </c>
      <c r="B288" s="4" t="inlineStr">
        <is>
          <t>PREPD</t>
        </is>
      </c>
      <c r="C288" s="4" t="inlineStr"/>
      <c r="D288" s="4" t="inlineStr"/>
      <c r="E288" s="4" t="inlineStr">
        <is>
          <t>Physically counted 2026-07-31</t>
        </is>
      </c>
      <c r="F288" s="4" t="inlineStr">
        <is>
          <t>2026-07-31</t>
        </is>
      </c>
      <c r="G288" s="5" t="n">
        <v>2</v>
      </c>
      <c r="H288" s="4" t="inlineStr">
        <is>
          <t>kg</t>
        </is>
      </c>
      <c r="I288" s="5" t="n">
        <v>2000</v>
      </c>
      <c r="J288" s="4" t="inlineStr">
        <is>
          <t>g</t>
        </is>
      </c>
      <c r="K288" s="6" t="n">
        <v>0.008141634601243421</v>
      </c>
      <c r="L288" s="6" t="n">
        <v>0.008141634601243421</v>
      </c>
      <c r="M288" s="7">
        <f>I288*K288</f>
        <v/>
      </c>
      <c r="N288" s="7">
        <f>I288*L288</f>
        <v/>
      </c>
      <c r="O288" s="7">
        <f>N288-M288</f>
        <v/>
      </c>
      <c r="P288" s="7" t="n">
        <v>8.141634601243421</v>
      </c>
      <c r="Q288" s="4" t="inlineStr">
        <is>
          <t>kg</t>
        </is>
      </c>
      <c r="R288" s="4" t="inlineStr">
        <is>
          <t>2300 batch</t>
        </is>
      </c>
    </row>
    <row r="289">
      <c r="A289" s="4" t="inlineStr">
        <is>
          <t>Cole Slaw Mix</t>
        </is>
      </c>
      <c r="B289" s="4" t="inlineStr">
        <is>
          <t>PREPD</t>
        </is>
      </c>
      <c r="C289" s="4" t="inlineStr"/>
      <c r="D289" s="4" t="inlineStr"/>
      <c r="E289" s="4" t="inlineStr">
        <is>
          <t>Physically counted 2026-07-31</t>
        </is>
      </c>
      <c r="F289" s="4" t="inlineStr">
        <is>
          <t>2026-07-31</t>
        </is>
      </c>
      <c r="G289" s="5" t="n">
        <v>0</v>
      </c>
      <c r="H289" s="4" t="inlineStr">
        <is>
          <t>batch</t>
        </is>
      </c>
      <c r="I289" s="5" t="n">
        <v>0</v>
      </c>
      <c r="J289" s="4" t="inlineStr">
        <is>
          <t>g</t>
        </is>
      </c>
      <c r="K289" s="6" t="n">
        <v>0.005250346195581071</v>
      </c>
      <c r="L289" s="6" t="n">
        <v>0.0090889705491362</v>
      </c>
      <c r="M289" s="7">
        <f>I289*K289</f>
        <v/>
      </c>
      <c r="N289" s="7">
        <f>I289*L289</f>
        <v/>
      </c>
      <c r="O289" s="7">
        <f>N289-M289</f>
        <v/>
      </c>
      <c r="P289" s="7" t="n">
        <v>9.088970549136199</v>
      </c>
      <c r="Q289" s="4" t="inlineStr">
        <is>
          <t>kg</t>
        </is>
      </c>
      <c r="R289" s="4" t="inlineStr">
        <is>
          <t>1500 batch</t>
        </is>
      </c>
    </row>
    <row r="290">
      <c r="A290" s="4" t="inlineStr">
        <is>
          <t>Corn Salsa</t>
        </is>
      </c>
      <c r="B290" s="4" t="inlineStr">
        <is>
          <t>PREPD</t>
        </is>
      </c>
      <c r="C290" s="4" t="inlineStr"/>
      <c r="D290" s="4" t="inlineStr"/>
      <c r="E290" s="4" t="inlineStr">
        <is>
          <t>Physically counted 2026-07-31</t>
        </is>
      </c>
      <c r="F290" s="4" t="inlineStr">
        <is>
          <t>2026-07-31</t>
        </is>
      </c>
      <c r="G290" s="5" t="n">
        <v>0</v>
      </c>
      <c r="H290" s="4" t="inlineStr">
        <is>
          <t>batch</t>
        </is>
      </c>
      <c r="I290" s="5" t="n">
        <v>0</v>
      </c>
      <c r="J290" s="4" t="inlineStr">
        <is>
          <t>g</t>
        </is>
      </c>
      <c r="K290" s="6" t="n">
        <v>0.01314433309576835</v>
      </c>
      <c r="L290" s="6" t="n">
        <v>0.01389208157297414</v>
      </c>
      <c r="M290" s="7">
        <f>I290*K290</f>
        <v/>
      </c>
      <c r="N290" s="7">
        <f>I290*L290</f>
        <v/>
      </c>
      <c r="O290" s="7">
        <f>N290-M290</f>
        <v/>
      </c>
      <c r="P290" s="7" t="n">
        <v>13.89208157297414</v>
      </c>
      <c r="Q290" s="4" t="inlineStr">
        <is>
          <t>kg</t>
        </is>
      </c>
      <c r="R290" s="4" t="inlineStr">
        <is>
          <t>2000 batch</t>
        </is>
      </c>
    </row>
    <row r="291">
      <c r="A291" s="4" t="inlineStr">
        <is>
          <t>Crispy Onions (GF)</t>
        </is>
      </c>
      <c r="B291" s="4" t="inlineStr">
        <is>
          <t>PREPD</t>
        </is>
      </c>
      <c r="C291" s="4" t="inlineStr"/>
      <c r="D291" s="4" t="inlineStr"/>
      <c r="E291" s="4" t="inlineStr">
        <is>
          <t>Physically counted 2026-07-31</t>
        </is>
      </c>
      <c r="F291" s="4" t="inlineStr">
        <is>
          <t>2026-07-31</t>
        </is>
      </c>
      <c r="G291" s="5" t="n">
        <v>1</v>
      </c>
      <c r="H291" s="4" t="inlineStr">
        <is>
          <t>kg</t>
        </is>
      </c>
      <c r="I291" s="5" t="n">
        <v>1000</v>
      </c>
      <c r="J291" s="4" t="inlineStr">
        <is>
          <t>g</t>
        </is>
      </c>
      <c r="K291" s="6" t="n">
        <v>0.005734728390271434</v>
      </c>
      <c r="L291" s="6" t="n">
        <v>0.005719281451171978</v>
      </c>
      <c r="M291" s="7">
        <f>I291*K291</f>
        <v/>
      </c>
      <c r="N291" s="7">
        <f>I291*L291</f>
        <v/>
      </c>
      <c r="O291" s="7">
        <f>N291-M291</f>
        <v/>
      </c>
      <c r="P291" s="7" t="n">
        <v>5.719281451171978</v>
      </c>
      <c r="Q291" s="4" t="inlineStr">
        <is>
          <t>kg</t>
        </is>
      </c>
      <c r="R291" s="4" t="inlineStr">
        <is>
          <t>1000 batch</t>
        </is>
      </c>
    </row>
    <row r="292">
      <c r="A292" s="4" t="inlineStr">
        <is>
          <t>Croutons</t>
        </is>
      </c>
      <c r="B292" s="4" t="inlineStr">
        <is>
          <t>PREPD</t>
        </is>
      </c>
      <c r="C292" s="4" t="inlineStr"/>
      <c r="D292" s="4" t="inlineStr"/>
      <c r="E292" s="4" t="inlineStr">
        <is>
          <t>Physically counted 2026-07-31</t>
        </is>
      </c>
      <c r="F292" s="4" t="inlineStr">
        <is>
          <t>2026-07-31</t>
        </is>
      </c>
      <c r="G292" s="5" t="n">
        <v>1</v>
      </c>
      <c r="H292" s="4" t="inlineStr">
        <is>
          <t>kg</t>
        </is>
      </c>
      <c r="I292" s="5" t="n">
        <v>1000</v>
      </c>
      <c r="J292" s="4" t="inlineStr">
        <is>
          <t>g</t>
        </is>
      </c>
      <c r="K292" s="6" t="n">
        <v>0.01203035654361923</v>
      </c>
      <c r="L292" s="6" t="n">
        <v>0.01192035318246517</v>
      </c>
      <c r="M292" s="7">
        <f>I292*K292</f>
        <v/>
      </c>
      <c r="N292" s="7">
        <f>I292*L292</f>
        <v/>
      </c>
      <c r="O292" s="7">
        <f>N292-M292</f>
        <v/>
      </c>
      <c r="P292" s="7" t="n">
        <v>11.92035318246517</v>
      </c>
      <c r="Q292" s="4" t="inlineStr">
        <is>
          <t>kg</t>
        </is>
      </c>
      <c r="R292" s="4" t="inlineStr">
        <is>
          <t>1000 batch</t>
        </is>
      </c>
    </row>
    <row r="293">
      <c r="A293" s="4" t="inlineStr">
        <is>
          <t>Cured Salmon</t>
        </is>
      </c>
      <c r="B293" s="4" t="inlineStr">
        <is>
          <t>PREPD</t>
        </is>
      </c>
      <c r="C293" s="4" t="inlineStr"/>
      <c r="D293" s="4" t="inlineStr"/>
      <c r="E293" s="4" t="inlineStr">
        <is>
          <t>Physically counted 2026-07-31</t>
        </is>
      </c>
      <c r="F293" s="4" t="inlineStr">
        <is>
          <t>2026-07-31</t>
        </is>
      </c>
      <c r="G293" s="5" t="n">
        <v>7</v>
      </c>
      <c r="H293" s="4" t="inlineStr">
        <is>
          <t>kg</t>
        </is>
      </c>
      <c r="I293" s="5" t="n">
        <v>7000</v>
      </c>
      <c r="J293" s="4" t="inlineStr">
        <is>
          <t>g</t>
        </is>
      </c>
      <c r="K293" s="6" t="n">
        <v>0.09778095481407494</v>
      </c>
      <c r="L293" s="6" t="n">
        <v>0.08896115949140611</v>
      </c>
      <c r="M293" s="7">
        <f>I293*K293</f>
        <v/>
      </c>
      <c r="N293" s="7">
        <f>I293*L293</f>
        <v/>
      </c>
      <c r="O293" s="7">
        <f>N293-M293</f>
        <v/>
      </c>
      <c r="P293" s="7" t="n">
        <v>88.96115949140611</v>
      </c>
      <c r="Q293" s="4" t="inlineStr">
        <is>
          <t>kg</t>
        </is>
      </c>
      <c r="R293" s="4" t="inlineStr">
        <is>
          <t>2267.96 batch</t>
        </is>
      </c>
    </row>
    <row r="294">
      <c r="A294" s="4" t="inlineStr">
        <is>
          <t>Dukkah</t>
        </is>
      </c>
      <c r="B294" s="4" t="inlineStr">
        <is>
          <t>PREPD</t>
        </is>
      </c>
      <c r="C294" s="4" t="inlineStr"/>
      <c r="D294" s="4" t="inlineStr"/>
      <c r="E294" s="4" t="inlineStr">
        <is>
          <t>Physically counted 2026-07-31</t>
        </is>
      </c>
      <c r="F294" s="4" t="inlineStr">
        <is>
          <t>2026-07-31</t>
        </is>
      </c>
      <c r="G294" s="5" t="n">
        <v>1</v>
      </c>
      <c r="H294" s="4" t="inlineStr">
        <is>
          <t>batch</t>
        </is>
      </c>
      <c r="I294" s="5" t="n">
        <v>1300</v>
      </c>
      <c r="J294" s="4" t="inlineStr">
        <is>
          <t>g</t>
        </is>
      </c>
      <c r="K294" s="6" t="n">
        <v>0.006435774446772449</v>
      </c>
      <c r="L294" s="6" t="n">
        <v>0.006435774446772449</v>
      </c>
      <c r="M294" s="7">
        <f>I294*K294</f>
        <v/>
      </c>
      <c r="N294" s="7">
        <f>I294*L294</f>
        <v/>
      </c>
      <c r="O294" s="7">
        <f>N294-M294</f>
        <v/>
      </c>
      <c r="P294" s="7" t="n">
        <v>6.435774446772449</v>
      </c>
      <c r="Q294" s="4" t="inlineStr">
        <is>
          <t>kg</t>
        </is>
      </c>
      <c r="R294" s="4" t="inlineStr">
        <is>
          <t>1300 batch</t>
        </is>
      </c>
    </row>
    <row r="295">
      <c r="A295" s="4" t="inlineStr">
        <is>
          <t>English Muffins (Sourdough Whole Wheat)</t>
        </is>
      </c>
      <c r="B295" s="4" t="inlineStr">
        <is>
          <t>PREPD</t>
        </is>
      </c>
      <c r="C295" s="4" t="inlineStr"/>
      <c r="D295" s="4" t="inlineStr"/>
      <c r="E295" s="4" t="inlineStr">
        <is>
          <t>Physically counted 2026-07-31</t>
        </is>
      </c>
      <c r="F295" s="4" t="inlineStr">
        <is>
          <t>2026-07-31</t>
        </is>
      </c>
      <c r="G295" s="5" t="n">
        <v>1.5</v>
      </c>
      <c r="H295" s="4" t="inlineStr">
        <is>
          <t>batch</t>
        </is>
      </c>
      <c r="I295" s="5" t="n">
        <v>108</v>
      </c>
      <c r="J295" s="4" t="inlineStr">
        <is>
          <t>each</t>
        </is>
      </c>
      <c r="K295" s="6" t="n">
        <v>0.3729490847693648</v>
      </c>
      <c r="L295" s="6" t="n">
        <v>0.3735637258924365</v>
      </c>
      <c r="M295" s="7">
        <f>I295*K295</f>
        <v/>
      </c>
      <c r="N295" s="7">
        <f>I295*L295</f>
        <v/>
      </c>
      <c r="O295" s="7">
        <f>N295-M295</f>
        <v/>
      </c>
      <c r="P295" s="7" t="n">
        <v>0.3735637258924365</v>
      </c>
      <c r="Q295" s="4" t="inlineStr">
        <is>
          <t>each</t>
        </is>
      </c>
      <c r="R295" s="4" t="inlineStr">
        <is>
          <t>72 batch</t>
        </is>
      </c>
    </row>
    <row r="296">
      <c r="A296" s="4" t="inlineStr">
        <is>
          <t>French Toast Mix (Custard)</t>
        </is>
      </c>
      <c r="B296" s="4" t="inlineStr">
        <is>
          <t>PREPD</t>
        </is>
      </c>
      <c r="C296" s="4" t="inlineStr"/>
      <c r="D296" s="4" t="inlineStr"/>
      <c r="E296" s="4" t="inlineStr">
        <is>
          <t>Physically counted 2026-07-31</t>
        </is>
      </c>
      <c r="F296" s="4" t="inlineStr">
        <is>
          <t>2026-07-31</t>
        </is>
      </c>
      <c r="G296" s="5" t="n">
        <v>12</v>
      </c>
      <c r="H296" s="4" t="inlineStr">
        <is>
          <t>kg</t>
        </is>
      </c>
      <c r="I296" s="5" t="n">
        <v>12000</v>
      </c>
      <c r="J296" s="4" t="inlineStr">
        <is>
          <t>g</t>
        </is>
      </c>
      <c r="K296" s="6" t="n">
        <v>0.005850591095730182</v>
      </c>
      <c r="L296" s="6" t="n">
        <v>0.005863622345730183</v>
      </c>
      <c r="M296" s="7">
        <f>I296*K296</f>
        <v/>
      </c>
      <c r="N296" s="7">
        <f>I296*L296</f>
        <v/>
      </c>
      <c r="O296" s="7">
        <f>N296-M296</f>
        <v/>
      </c>
      <c r="P296" s="7" t="n">
        <v>5.863622345730183</v>
      </c>
      <c r="Q296" s="4" t="inlineStr">
        <is>
          <t>kg</t>
        </is>
      </c>
      <c r="R296" s="4" t="inlineStr">
        <is>
          <t>6000 batch</t>
        </is>
      </c>
    </row>
    <row r="297">
      <c r="A297" s="4" t="inlineStr">
        <is>
          <t>Handcut Fries</t>
        </is>
      </c>
      <c r="B297" s="4" t="inlineStr">
        <is>
          <t>PREPD</t>
        </is>
      </c>
      <c r="C297" s="4" t="inlineStr"/>
      <c r="D297" s="4" t="inlineStr"/>
      <c r="E297" s="4" t="inlineStr">
        <is>
          <t>Physically counted 2026-07-31</t>
        </is>
      </c>
      <c r="F297" s="4" t="inlineStr">
        <is>
          <t>2026-07-31</t>
        </is>
      </c>
      <c r="G297" s="5" t="n">
        <v>0</v>
      </c>
      <c r="H297" s="4" t="inlineStr">
        <is>
          <t>batch</t>
        </is>
      </c>
      <c r="I297" s="5" t="n">
        <v>0</v>
      </c>
      <c r="J297" s="4" t="inlineStr">
        <is>
          <t>g</t>
        </is>
      </c>
      <c r="K297" s="6" t="n">
        <v>0.001815905042416974</v>
      </c>
      <c r="L297" s="6" t="n">
        <v>0.001854530062258593</v>
      </c>
      <c r="M297" s="7">
        <f>I297*K297</f>
        <v/>
      </c>
      <c r="N297" s="7">
        <f>I297*L297</f>
        <v/>
      </c>
      <c r="O297" s="7">
        <f>N297-M297</f>
        <v/>
      </c>
      <c r="P297" s="7" t="n">
        <v>1.854530062258593</v>
      </c>
      <c r="Q297" s="4" t="inlineStr">
        <is>
          <t>kg</t>
        </is>
      </c>
      <c r="R297" s="4" t="inlineStr">
        <is>
          <t>1000 batch</t>
        </is>
      </c>
    </row>
    <row r="298">
      <c r="A298" s="4" t="inlineStr">
        <is>
          <t>Hash</t>
        </is>
      </c>
      <c r="B298" s="4" t="inlineStr">
        <is>
          <t>PREPD</t>
        </is>
      </c>
      <c r="C298" s="4" t="inlineStr"/>
      <c r="D298" s="4" t="inlineStr"/>
      <c r="E298" s="4" t="inlineStr">
        <is>
          <t>Physically counted 2026-07-31</t>
        </is>
      </c>
      <c r="F298" s="4" t="inlineStr">
        <is>
          <t>2026-07-31</t>
        </is>
      </c>
      <c r="G298" s="5" t="n">
        <v>1.5</v>
      </c>
      <c r="H298" s="4" t="inlineStr">
        <is>
          <t>batch</t>
        </is>
      </c>
      <c r="I298" s="5" t="n">
        <v>52500</v>
      </c>
      <c r="J298" s="4" t="inlineStr">
        <is>
          <t>g</t>
        </is>
      </c>
      <c r="K298" s="6" t="n">
        <v>0.002379650602723321</v>
      </c>
      <c r="L298" s="6" t="n">
        <v>0.002379697261441208</v>
      </c>
      <c r="M298" s="7">
        <f>I298*K298</f>
        <v/>
      </c>
      <c r="N298" s="7">
        <f>I298*L298</f>
        <v/>
      </c>
      <c r="O298" s="7">
        <f>N298-M298</f>
        <v/>
      </c>
      <c r="P298" s="7" t="n">
        <v>2.379697261441208</v>
      </c>
      <c r="Q298" s="4" t="inlineStr">
        <is>
          <t>kg</t>
        </is>
      </c>
      <c r="R298" s="4" t="inlineStr">
        <is>
          <t>35000 batch</t>
        </is>
      </c>
    </row>
    <row r="299">
      <c r="A299" s="4" t="inlineStr">
        <is>
          <t>Hollandaise</t>
        </is>
      </c>
      <c r="B299" s="4" t="inlineStr">
        <is>
          <t>PREPD</t>
        </is>
      </c>
      <c r="C299" s="4" t="inlineStr"/>
      <c r="D299" s="4" t="inlineStr"/>
      <c r="E299" s="4" t="inlineStr">
        <is>
          <t>Physically counted 2026-07-31</t>
        </is>
      </c>
      <c r="F299" s="4" t="inlineStr">
        <is>
          <t>2026-07-31</t>
        </is>
      </c>
      <c r="G299" s="5" t="n">
        <v>0</v>
      </c>
      <c r="H299" s="4" t="inlineStr">
        <is>
          <t>batch</t>
        </is>
      </c>
      <c r="I299" s="5" t="n">
        <v>0</v>
      </c>
      <c r="J299" s="4" t="inlineStr">
        <is>
          <t>g</t>
        </is>
      </c>
      <c r="K299" s="6" t="n">
        <v>0.01744940796285987</v>
      </c>
      <c r="L299" s="6" t="n">
        <v>0.01774661726518545</v>
      </c>
      <c r="M299" s="7">
        <f>I299*K299</f>
        <v/>
      </c>
      <c r="N299" s="7">
        <f>I299*L299</f>
        <v/>
      </c>
      <c r="O299" s="7">
        <f>N299-M299</f>
        <v/>
      </c>
      <c r="P299" s="7" t="n">
        <v>17.74661726518545</v>
      </c>
      <c r="Q299" s="4" t="inlineStr">
        <is>
          <t>kg</t>
        </is>
      </c>
      <c r="R299" s="4" t="inlineStr">
        <is>
          <t>2500 batch</t>
        </is>
      </c>
    </row>
    <row r="300">
      <c r="A300" s="4" t="inlineStr">
        <is>
          <t>Hot Sauce (Mexican Style)</t>
        </is>
      </c>
      <c r="B300" s="4" t="inlineStr">
        <is>
          <t>PREPD</t>
        </is>
      </c>
      <c r="C300" s="4" t="inlineStr"/>
      <c r="D300" s="4" t="inlineStr"/>
      <c r="E300" s="4" t="inlineStr">
        <is>
          <t>Physically counted 2026-07-31</t>
        </is>
      </c>
      <c r="F300" s="4" t="inlineStr">
        <is>
          <t>2026-07-31</t>
        </is>
      </c>
      <c r="G300" s="5" t="n">
        <v>3</v>
      </c>
      <c r="H300" s="4" t="inlineStr">
        <is>
          <t>batch</t>
        </is>
      </c>
      <c r="I300" s="5" t="n">
        <v>7500</v>
      </c>
      <c r="J300" s="4" t="inlineStr">
        <is>
          <t>ml</t>
        </is>
      </c>
      <c r="K300" s="6" t="n">
        <v>0.004113879857619024</v>
      </c>
      <c r="L300" s="6" t="n">
        <v>0.004122151608443556</v>
      </c>
      <c r="M300" s="7">
        <f>I300*K300</f>
        <v/>
      </c>
      <c r="N300" s="7">
        <f>I300*L300</f>
        <v/>
      </c>
      <c r="O300" s="7">
        <f>N300-M300</f>
        <v/>
      </c>
      <c r="P300" s="7" t="n">
        <v>4.122151608443556</v>
      </c>
      <c r="Q300" s="4" t="inlineStr">
        <is>
          <t>L</t>
        </is>
      </c>
      <c r="R300" s="4" t="inlineStr">
        <is>
          <t>2500 batch</t>
        </is>
      </c>
    </row>
    <row r="301">
      <c r="A301" s="4" t="inlineStr">
        <is>
          <t>House Salad Dressing (Apple &amp; Maple Vinaigrette)</t>
        </is>
      </c>
      <c r="B301" s="4" t="inlineStr">
        <is>
          <t>PREPD</t>
        </is>
      </c>
      <c r="C301" s="4" t="inlineStr"/>
      <c r="D301" s="4" t="inlineStr"/>
      <c r="E301" s="4" t="inlineStr">
        <is>
          <t>Physically counted 2026-07-31</t>
        </is>
      </c>
      <c r="F301" s="4" t="inlineStr">
        <is>
          <t>2026-07-31</t>
        </is>
      </c>
      <c r="G301" s="5" t="n">
        <v>0</v>
      </c>
      <c r="H301" s="4" t="inlineStr">
        <is>
          <t>batch</t>
        </is>
      </c>
      <c r="I301" s="5" t="n">
        <v>0</v>
      </c>
      <c r="J301" s="4" t="inlineStr">
        <is>
          <t>ml</t>
        </is>
      </c>
      <c r="K301" s="6" t="n">
        <v>0.005305368705043366</v>
      </c>
      <c r="L301" s="6" t="n">
        <v>0.005205201099787265</v>
      </c>
      <c r="M301" s="7">
        <f>I301*K301</f>
        <v/>
      </c>
      <c r="N301" s="7">
        <f>I301*L301</f>
        <v/>
      </c>
      <c r="O301" s="7">
        <f>N301-M301</f>
        <v/>
      </c>
      <c r="P301" s="7" t="n">
        <v>5.205201099787264</v>
      </c>
      <c r="Q301" s="4" t="inlineStr">
        <is>
          <t>L</t>
        </is>
      </c>
      <c r="R301" s="4" t="inlineStr">
        <is>
          <t>5500 batch</t>
        </is>
      </c>
    </row>
    <row r="302">
      <c r="A302" s="4" t="inlineStr">
        <is>
          <t>House Spice Mix</t>
        </is>
      </c>
      <c r="B302" s="4" t="inlineStr">
        <is>
          <t>PREPD</t>
        </is>
      </c>
      <c r="C302" s="4" t="inlineStr"/>
      <c r="D302" s="4" t="inlineStr"/>
      <c r="E302" s="4" t="inlineStr">
        <is>
          <t>Physically counted 2026-07-31</t>
        </is>
      </c>
      <c r="F302" s="4" t="inlineStr">
        <is>
          <t>2026-07-31</t>
        </is>
      </c>
      <c r="G302" s="5" t="n">
        <v>1</v>
      </c>
      <c r="H302" s="4" t="inlineStr">
        <is>
          <t>batch</t>
        </is>
      </c>
      <c r="I302" s="5" t="n">
        <v>11600</v>
      </c>
      <c r="J302" s="4" t="inlineStr">
        <is>
          <t>g</t>
        </is>
      </c>
      <c r="K302" s="6" t="n">
        <v>0.01340888545895184</v>
      </c>
      <c r="L302" s="6" t="n">
        <v>0.01340888545895184</v>
      </c>
      <c r="M302" s="7">
        <f>I302*K302</f>
        <v/>
      </c>
      <c r="N302" s="7">
        <f>I302*L302</f>
        <v/>
      </c>
      <c r="O302" s="7">
        <f>N302-M302</f>
        <v/>
      </c>
      <c r="P302" s="7" t="n">
        <v>13.40888545895184</v>
      </c>
      <c r="Q302" s="4" t="inlineStr">
        <is>
          <t>kg</t>
        </is>
      </c>
      <c r="R302" s="4" t="inlineStr">
        <is>
          <t>11600 batch</t>
        </is>
      </c>
    </row>
    <row r="303">
      <c r="A303" s="4" t="inlineStr">
        <is>
          <t>Mint Zhoug</t>
        </is>
      </c>
      <c r="B303" s="4" t="inlineStr">
        <is>
          <t>PREPD</t>
        </is>
      </c>
      <c r="C303" s="4" t="inlineStr"/>
      <c r="D303" s="4" t="inlineStr"/>
      <c r="E303" s="4" t="inlineStr">
        <is>
          <t>Physically counted 2026-07-31</t>
        </is>
      </c>
      <c r="F303" s="4" t="inlineStr">
        <is>
          <t>2026-07-31</t>
        </is>
      </c>
      <c r="G303" s="5" t="n">
        <v>1</v>
      </c>
      <c r="H303" s="4" t="inlineStr">
        <is>
          <t>batch</t>
        </is>
      </c>
      <c r="I303" s="5" t="n">
        <v>1600</v>
      </c>
      <c r="J303" s="4" t="inlineStr">
        <is>
          <t>g</t>
        </is>
      </c>
      <c r="K303" s="6" t="n">
        <v>0.02456838701733043</v>
      </c>
      <c r="L303" s="6" t="n">
        <v>0.02384310605255848</v>
      </c>
      <c r="M303" s="7">
        <f>I303*K303</f>
        <v/>
      </c>
      <c r="N303" s="7">
        <f>I303*L303</f>
        <v/>
      </c>
      <c r="O303" s="7">
        <f>N303-M303</f>
        <v/>
      </c>
      <c r="P303" s="7" t="n">
        <v>23.84310605255848</v>
      </c>
      <c r="Q303" s="4" t="inlineStr">
        <is>
          <t>kg</t>
        </is>
      </c>
      <c r="R303" s="4" t="inlineStr">
        <is>
          <t>1600 batch</t>
        </is>
      </c>
    </row>
    <row r="304">
      <c r="A304" s="4" t="inlineStr">
        <is>
          <t>Mushroom Ragout</t>
        </is>
      </c>
      <c r="B304" s="4" t="inlineStr">
        <is>
          <t>PREPD</t>
        </is>
      </c>
      <c r="C304" s="4" t="inlineStr"/>
      <c r="D304" s="4" t="inlineStr"/>
      <c r="E304" s="4" t="inlineStr">
        <is>
          <t>Physically counted 2026-07-31</t>
        </is>
      </c>
      <c r="F304" s="4" t="inlineStr">
        <is>
          <t>2026-07-31</t>
        </is>
      </c>
      <c r="G304" s="5" t="n">
        <v>7</v>
      </c>
      <c r="H304" s="4" t="inlineStr">
        <is>
          <t>kg</t>
        </is>
      </c>
      <c r="I304" s="5" t="n">
        <v>7000</v>
      </c>
      <c r="J304" s="4" t="inlineStr">
        <is>
          <t>g</t>
        </is>
      </c>
      <c r="K304" s="6" t="n">
        <v>0.02220073264448766</v>
      </c>
      <c r="L304" s="6" t="n">
        <v>0.02218984072787538</v>
      </c>
      <c r="M304" s="7">
        <f>I304*K304</f>
        <v/>
      </c>
      <c r="N304" s="7">
        <f>I304*L304</f>
        <v/>
      </c>
      <c r="O304" s="7">
        <f>N304-M304</f>
        <v/>
      </c>
      <c r="P304" s="7" t="n">
        <v>22.18984072787538</v>
      </c>
      <c r="Q304" s="4" t="inlineStr">
        <is>
          <t>kg</t>
        </is>
      </c>
      <c r="R304" s="4" t="inlineStr">
        <is>
          <t>5000 batch</t>
        </is>
      </c>
    </row>
    <row r="305">
      <c r="A305" s="4" t="inlineStr">
        <is>
          <t>Pickle Jalapenos</t>
        </is>
      </c>
      <c r="B305" s="4" t="inlineStr">
        <is>
          <t>PREPD</t>
        </is>
      </c>
      <c r="C305" s="4" t="inlineStr"/>
      <c r="D305" s="4" t="inlineStr"/>
      <c r="E305" s="4" t="inlineStr">
        <is>
          <t>Physically counted 2026-07-31</t>
        </is>
      </c>
      <c r="F305" s="4" t="inlineStr">
        <is>
          <t>2026-07-31</t>
        </is>
      </c>
      <c r="G305" s="5" t="n">
        <v>0</v>
      </c>
      <c r="H305" s="4" t="inlineStr">
        <is>
          <t>batch</t>
        </is>
      </c>
      <c r="I305" s="5" t="n">
        <v>0</v>
      </c>
      <c r="J305" s="4" t="inlineStr">
        <is>
          <t>g</t>
        </is>
      </c>
      <c r="K305" s="6" t="n">
        <v>0.000776719584135651</v>
      </c>
      <c r="L305" s="6" t="n">
        <v>0.000776719584135651</v>
      </c>
      <c r="M305" s="7">
        <f>I305*K305</f>
        <v/>
      </c>
      <c r="N305" s="7">
        <f>I305*L305</f>
        <v/>
      </c>
      <c r="O305" s="7">
        <f>N305-M305</f>
        <v/>
      </c>
      <c r="P305" s="7" t="n">
        <v>0.776719584135651</v>
      </c>
      <c r="Q305" s="4" t="inlineStr">
        <is>
          <t>kg</t>
        </is>
      </c>
      <c r="R305" s="4" t="inlineStr">
        <is>
          <t>6000 batch</t>
        </is>
      </c>
    </row>
    <row r="306">
      <c r="A306" s="4" t="inlineStr">
        <is>
          <t>Pickle Red Onions</t>
        </is>
      </c>
      <c r="B306" s="4" t="inlineStr">
        <is>
          <t>PREPD</t>
        </is>
      </c>
      <c r="C306" s="4" t="inlineStr"/>
      <c r="D306" s="4" t="inlineStr"/>
      <c r="E306" s="4" t="inlineStr">
        <is>
          <t>Physically counted 2026-07-31</t>
        </is>
      </c>
      <c r="F306" s="4" t="inlineStr">
        <is>
          <t>2026-07-31</t>
        </is>
      </c>
      <c r="G306" s="5" t="n">
        <v>1</v>
      </c>
      <c r="H306" s="4" t="inlineStr">
        <is>
          <t>kg</t>
        </is>
      </c>
      <c r="I306" s="5" t="n">
        <v>1000</v>
      </c>
      <c r="J306" s="4" t="inlineStr">
        <is>
          <t>g</t>
        </is>
      </c>
      <c r="K306" s="6" t="n">
        <v>0.0042892366747902</v>
      </c>
      <c r="L306" s="6" t="n">
        <v>0.004295585993120328</v>
      </c>
      <c r="M306" s="7">
        <f>I306*K306</f>
        <v/>
      </c>
      <c r="N306" s="7">
        <f>I306*L306</f>
        <v/>
      </c>
      <c r="O306" s="7">
        <f>N306-M306</f>
        <v/>
      </c>
      <c r="P306" s="7" t="n">
        <v>4.295585993120328</v>
      </c>
      <c r="Q306" s="4" t="inlineStr">
        <is>
          <t>kg</t>
        </is>
      </c>
      <c r="R306" s="4" t="inlineStr">
        <is>
          <t>25000 batch</t>
        </is>
      </c>
    </row>
    <row r="307">
      <c r="A307" s="4" t="inlineStr">
        <is>
          <t>Pickled Cucumber B&amp;B</t>
        </is>
      </c>
      <c r="B307" s="4" t="inlineStr">
        <is>
          <t>PREPD</t>
        </is>
      </c>
      <c r="C307" s="4" t="inlineStr"/>
      <c r="D307" s="4" t="inlineStr"/>
      <c r="E307" s="4" t="inlineStr">
        <is>
          <t>Physically counted 2026-07-31</t>
        </is>
      </c>
      <c r="F307" s="4" t="inlineStr">
        <is>
          <t>2026-07-31</t>
        </is>
      </c>
      <c r="G307" s="5" t="n">
        <v>1</v>
      </c>
      <c r="H307" s="4" t="inlineStr">
        <is>
          <t>batch</t>
        </is>
      </c>
      <c r="I307" s="5" t="n">
        <v>4000</v>
      </c>
      <c r="J307" s="4" t="inlineStr">
        <is>
          <t>g</t>
        </is>
      </c>
      <c r="K307" s="6" t="n">
        <v>0.01539240579457184</v>
      </c>
      <c r="L307" s="6" t="n">
        <v>0.01539240579457184</v>
      </c>
      <c r="M307" s="7">
        <f>I307*K307</f>
        <v/>
      </c>
      <c r="N307" s="7">
        <f>I307*L307</f>
        <v/>
      </c>
      <c r="O307" s="7">
        <f>N307-M307</f>
        <v/>
      </c>
      <c r="P307" s="7" t="n">
        <v>15.39240579457184</v>
      </c>
      <c r="Q307" s="4" t="inlineStr">
        <is>
          <t>kg</t>
        </is>
      </c>
      <c r="R307" s="4" t="inlineStr">
        <is>
          <t>4000 batch</t>
        </is>
      </c>
    </row>
    <row r="308">
      <c r="A308" s="4" t="inlineStr">
        <is>
          <t>Pork, Fennel &amp; Chilli Sausage</t>
        </is>
      </c>
      <c r="B308" s="4" t="inlineStr">
        <is>
          <t>PREPD</t>
        </is>
      </c>
      <c r="C308" s="4" t="inlineStr"/>
      <c r="D308" s="4" t="inlineStr"/>
      <c r="E308" s="4" t="inlineStr">
        <is>
          <t>Physically counted 2026-08-01</t>
        </is>
      </c>
      <c r="F308" s="4" t="inlineStr">
        <is>
          <t>2026-08-01</t>
        </is>
      </c>
      <c r="G308" s="5" t="n">
        <v>21</v>
      </c>
      <c r="H308" s="4" t="inlineStr">
        <is>
          <t>kg</t>
        </is>
      </c>
      <c r="I308" s="5" t="n">
        <v>21000</v>
      </c>
      <c r="J308" s="4" t="inlineStr">
        <is>
          <t>g</t>
        </is>
      </c>
      <c r="K308" s="6" t="n">
        <v>0.01446106318772733</v>
      </c>
      <c r="L308" s="6" t="n">
        <v>0.01446116933631053</v>
      </c>
      <c r="M308" s="7">
        <f>I308*K308</f>
        <v/>
      </c>
      <c r="N308" s="7">
        <f>I308*L308</f>
        <v/>
      </c>
      <c r="O308" s="7">
        <f>N308-M308</f>
        <v/>
      </c>
      <c r="P308" s="7" t="n">
        <v>14.46116933631053</v>
      </c>
      <c r="Q308" s="4" t="inlineStr">
        <is>
          <t>kg</t>
        </is>
      </c>
      <c r="R308" s="4" t="inlineStr">
        <is>
          <t>10000 batch</t>
        </is>
      </c>
    </row>
    <row r="309">
      <c r="A309" s="4" t="inlineStr">
        <is>
          <t>Roasted Pepper Relish</t>
        </is>
      </c>
      <c r="B309" s="4" t="inlineStr">
        <is>
          <t>PREPD</t>
        </is>
      </c>
      <c r="C309" s="4" t="inlineStr"/>
      <c r="D309" s="4" t="inlineStr"/>
      <c r="E309" s="4" t="inlineStr">
        <is>
          <t>Physically counted 2026-07-31</t>
        </is>
      </c>
      <c r="F309" s="4" t="inlineStr">
        <is>
          <t>2026-07-31</t>
        </is>
      </c>
      <c r="G309" s="5" t="n">
        <v>0</v>
      </c>
      <c r="H309" s="4" t="inlineStr">
        <is>
          <t>batch</t>
        </is>
      </c>
      <c r="I309" s="5" t="n">
        <v>0</v>
      </c>
      <c r="J309" s="4" t="inlineStr">
        <is>
          <t>g</t>
        </is>
      </c>
      <c r="K309" s="6" t="n">
        <v>0.001415913852872184</v>
      </c>
      <c r="L309" s="6" t="n">
        <v>0.001392577964055804</v>
      </c>
      <c r="M309" s="7">
        <f>I309*K309</f>
        <v/>
      </c>
      <c r="N309" s="7">
        <f>I309*L309</f>
        <v/>
      </c>
      <c r="O309" s="7">
        <f>N309-M309</f>
        <v/>
      </c>
      <c r="P309" s="7" t="n">
        <v>1.392577964055804</v>
      </c>
      <c r="Q309" s="4" t="inlineStr">
        <is>
          <t>kg</t>
        </is>
      </c>
      <c r="R309" s="4" t="inlineStr">
        <is>
          <t>2500 batch</t>
        </is>
      </c>
    </row>
    <row r="310">
      <c r="A310" s="4" t="inlineStr">
        <is>
          <t>Scones</t>
        </is>
      </c>
      <c r="B310" s="4" t="inlineStr">
        <is>
          <t>PREPD</t>
        </is>
      </c>
      <c r="C310" s="4" t="inlineStr"/>
      <c r="D310" s="4" t="inlineStr"/>
      <c r="E310" s="4" t="inlineStr">
        <is>
          <t>Physically counted 2026-07-31</t>
        </is>
      </c>
      <c r="F310" s="4" t="inlineStr">
        <is>
          <t>2026-07-31</t>
        </is>
      </c>
      <c r="G310" s="5" t="n">
        <v>14</v>
      </c>
      <c r="H310" s="4" t="inlineStr">
        <is>
          <t>each</t>
        </is>
      </c>
      <c r="I310" s="5" t="n">
        <v>14</v>
      </c>
      <c r="J310" s="4" t="inlineStr">
        <is>
          <t>each</t>
        </is>
      </c>
      <c r="K310" s="6" t="n">
        <v>0.4190737870778268</v>
      </c>
      <c r="L310" s="6" t="n">
        <v>0.4190737870778268</v>
      </c>
      <c r="M310" s="7">
        <f>I310*K310</f>
        <v/>
      </c>
      <c r="N310" s="7">
        <f>I310*L310</f>
        <v/>
      </c>
      <c r="O310" s="7">
        <f>N310-M310</f>
        <v/>
      </c>
      <c r="P310" s="7" t="n">
        <v>0.4190737870778268</v>
      </c>
      <c r="Q310" s="4" t="inlineStr">
        <is>
          <t>each</t>
        </is>
      </c>
      <c r="R310" s="4" t="inlineStr">
        <is>
          <t>25 batch</t>
        </is>
      </c>
    </row>
    <row r="311">
      <c r="A311" s="4" t="inlineStr">
        <is>
          <t>Shakshuka Sauce (SHAQ)</t>
        </is>
      </c>
      <c r="B311" s="4" t="inlineStr">
        <is>
          <t>PREPD</t>
        </is>
      </c>
      <c r="C311" s="4" t="inlineStr"/>
      <c r="D311" s="4" t="inlineStr"/>
      <c r="E311" s="4" t="inlineStr">
        <is>
          <t>Physically counted 2026-07-31</t>
        </is>
      </c>
      <c r="F311" s="4" t="inlineStr">
        <is>
          <t>2026-07-31</t>
        </is>
      </c>
      <c r="G311" s="5" t="n">
        <v>30</v>
      </c>
      <c r="H311" s="4" t="inlineStr">
        <is>
          <t>kg</t>
        </is>
      </c>
      <c r="I311" s="5" t="n">
        <v>30000</v>
      </c>
      <c r="J311" s="4" t="inlineStr">
        <is>
          <t>g</t>
        </is>
      </c>
      <c r="K311" s="6" t="n">
        <v>0.006629451247202264</v>
      </c>
      <c r="L311" s="6" t="n">
        <v>0.008566156295402205</v>
      </c>
      <c r="M311" s="7">
        <f>I311*K311</f>
        <v/>
      </c>
      <c r="N311" s="7">
        <f>I311*L311</f>
        <v/>
      </c>
      <c r="O311" s="7">
        <f>N311-M311</f>
        <v/>
      </c>
      <c r="P311" s="7" t="n">
        <v>8.566156295402205</v>
      </c>
      <c r="Q311" s="4" t="inlineStr">
        <is>
          <t>kg</t>
        </is>
      </c>
      <c r="R311" s="4" t="inlineStr">
        <is>
          <t>25000 batch</t>
        </is>
      </c>
    </row>
    <row r="312">
      <c r="A312" s="4" t="inlineStr">
        <is>
          <t>Smashed Avocado</t>
        </is>
      </c>
      <c r="B312" s="4" t="inlineStr">
        <is>
          <t>PREPD</t>
        </is>
      </c>
      <c r="C312" s="4" t="inlineStr"/>
      <c r="D312" s="4" t="inlineStr"/>
      <c r="E312" s="4" t="inlineStr">
        <is>
          <t>Physically counted 2026-07-31</t>
        </is>
      </c>
      <c r="F312" s="4" t="inlineStr">
        <is>
          <t>2026-07-31</t>
        </is>
      </c>
      <c r="G312" s="5" t="n">
        <v>6</v>
      </c>
      <c r="H312" s="4" t="inlineStr">
        <is>
          <t>kg</t>
        </is>
      </c>
      <c r="I312" s="5" t="n">
        <v>6000</v>
      </c>
      <c r="J312" s="4" t="inlineStr">
        <is>
          <t>g</t>
        </is>
      </c>
      <c r="K312" s="6" t="n">
        <v>0.007767475408569396</v>
      </c>
      <c r="L312" s="6" t="n">
        <v>0.006580201329381528</v>
      </c>
      <c r="M312" s="7">
        <f>I312*K312</f>
        <v/>
      </c>
      <c r="N312" s="7">
        <f>I312*L312</f>
        <v/>
      </c>
      <c r="O312" s="7">
        <f>N312-M312</f>
        <v/>
      </c>
      <c r="P312" s="7" t="n">
        <v>6.580201329381528</v>
      </c>
      <c r="Q312" s="4" t="inlineStr">
        <is>
          <t>kg</t>
        </is>
      </c>
      <c r="R312" s="4" t="inlineStr">
        <is>
          <t>2500 batch</t>
        </is>
      </c>
    </row>
    <row r="313">
      <c r="A313" s="4" t="inlineStr">
        <is>
          <t>Smoked Brisket</t>
        </is>
      </c>
      <c r="B313" s="4" t="inlineStr">
        <is>
          <t>PREPD</t>
        </is>
      </c>
      <c r="C313" s="4" t="inlineStr"/>
      <c r="D313" s="4" t="inlineStr"/>
      <c r="E313" s="4" t="inlineStr">
        <is>
          <t>Physically counted 2026-07-31</t>
        </is>
      </c>
      <c r="F313" s="4" t="inlineStr">
        <is>
          <t>2026-07-31</t>
        </is>
      </c>
      <c r="G313" s="5" t="n">
        <v>11</v>
      </c>
      <c r="H313" s="4" t="inlineStr">
        <is>
          <t>kg</t>
        </is>
      </c>
      <c r="I313" s="5" t="n">
        <v>11000</v>
      </c>
      <c r="J313" s="4" t="inlineStr">
        <is>
          <t>g</t>
        </is>
      </c>
      <c r="K313" s="6" t="n">
        <v>0.03328564636673574</v>
      </c>
      <c r="L313" s="6" t="n">
        <v>0.03328564636673574</v>
      </c>
      <c r="M313" s="7">
        <f>I313*K313</f>
        <v/>
      </c>
      <c r="N313" s="7">
        <f>I313*L313</f>
        <v/>
      </c>
      <c r="O313" s="7">
        <f>N313-M313</f>
        <v/>
      </c>
      <c r="P313" s="7" t="n">
        <v>33.28564636673574</v>
      </c>
      <c r="Q313" s="4" t="inlineStr">
        <is>
          <t>kg</t>
        </is>
      </c>
      <c r="R313" s="4" t="inlineStr">
        <is>
          <t>9000 batch</t>
        </is>
      </c>
    </row>
    <row r="314">
      <c r="A314" s="4" t="inlineStr">
        <is>
          <t>Smoked Goat Cheese Cream</t>
        </is>
      </c>
      <c r="B314" s="4" t="inlineStr">
        <is>
          <t>PREPD</t>
        </is>
      </c>
      <c r="C314" s="4" t="inlineStr"/>
      <c r="D314" s="4" t="inlineStr"/>
      <c r="E314" s="4" t="inlineStr">
        <is>
          <t>Physically counted 2026-07-31</t>
        </is>
      </c>
      <c r="F314" s="4" t="inlineStr">
        <is>
          <t>2026-07-31</t>
        </is>
      </c>
      <c r="G314" s="5" t="n">
        <v>6.2</v>
      </c>
      <c r="H314" s="4" t="inlineStr">
        <is>
          <t>kg</t>
        </is>
      </c>
      <c r="I314" s="5" t="n">
        <v>6200</v>
      </c>
      <c r="J314" s="4" t="inlineStr">
        <is>
          <t>g</t>
        </is>
      </c>
      <c r="K314" s="6" t="n">
        <v>0.01540476930409364</v>
      </c>
      <c r="L314" s="6" t="n">
        <v>0.01545350492365378</v>
      </c>
      <c r="M314" s="7">
        <f>I314*K314</f>
        <v/>
      </c>
      <c r="N314" s="7">
        <f>I314*L314</f>
        <v/>
      </c>
      <c r="O314" s="7">
        <f>N314-M314</f>
        <v/>
      </c>
      <c r="P314" s="7" t="n">
        <v>15.45350492365378</v>
      </c>
      <c r="Q314" s="4" t="inlineStr">
        <is>
          <t>kg</t>
        </is>
      </c>
      <c r="R314" s="4" t="inlineStr">
        <is>
          <t>6776 batch</t>
        </is>
      </c>
    </row>
    <row r="315">
      <c r="A315" s="4" t="inlineStr">
        <is>
          <t>Smoked Miso Honey Butter</t>
        </is>
      </c>
      <c r="B315" s="4" t="inlineStr">
        <is>
          <t>PREPD</t>
        </is>
      </c>
      <c r="C315" s="4" t="inlineStr"/>
      <c r="D315" s="4" t="inlineStr"/>
      <c r="E315" s="4" t="inlineStr">
        <is>
          <t>Physically counted 2026-07-31</t>
        </is>
      </c>
      <c r="F315" s="4" t="inlineStr">
        <is>
          <t>2026-07-31</t>
        </is>
      </c>
      <c r="G315" s="5" t="n">
        <v>1</v>
      </c>
      <c r="H315" s="4" t="inlineStr">
        <is>
          <t>kg</t>
        </is>
      </c>
      <c r="I315" s="5" t="n">
        <v>1000</v>
      </c>
      <c r="J315" s="4" t="inlineStr">
        <is>
          <t>g</t>
        </is>
      </c>
      <c r="K315" s="6" t="n">
        <v>0.0136697250866373</v>
      </c>
      <c r="L315" s="6" t="n">
        <v>0.0136697250866373</v>
      </c>
      <c r="M315" s="7">
        <f>I315*K315</f>
        <v/>
      </c>
      <c r="N315" s="7">
        <f>I315*L315</f>
        <v/>
      </c>
      <c r="O315" s="7">
        <f>N315-M315</f>
        <v/>
      </c>
      <c r="P315" s="7" t="n">
        <v>13.6697250866373</v>
      </c>
      <c r="Q315" s="4" t="inlineStr">
        <is>
          <t>kg</t>
        </is>
      </c>
      <c r="R315" s="4" t="inlineStr">
        <is>
          <t>2500 batch</t>
        </is>
      </c>
    </row>
    <row r="316">
      <c r="A316" s="4" t="inlineStr">
        <is>
          <t>Smoked Pulled Pork</t>
        </is>
      </c>
      <c r="B316" s="4" t="inlineStr">
        <is>
          <t>PREPD</t>
        </is>
      </c>
      <c r="C316" s="4" t="inlineStr"/>
      <c r="D316" s="4" t="inlineStr"/>
      <c r="E316" s="4" t="inlineStr">
        <is>
          <t>Physically counted 2026-07-31</t>
        </is>
      </c>
      <c r="F316" s="4" t="inlineStr">
        <is>
          <t>2026-07-31</t>
        </is>
      </c>
      <c r="G316" s="5" t="n">
        <v>28</v>
      </c>
      <c r="H316" s="4" t="inlineStr">
        <is>
          <t>kg</t>
        </is>
      </c>
      <c r="I316" s="5" t="n">
        <v>28000</v>
      </c>
      <c r="J316" s="4" t="inlineStr">
        <is>
          <t>g</t>
        </is>
      </c>
      <c r="K316" s="6" t="n">
        <v>0.0198863944453599</v>
      </c>
      <c r="L316" s="6" t="n">
        <v>0.01988857865659101</v>
      </c>
      <c r="M316" s="7">
        <f>I316*K316</f>
        <v/>
      </c>
      <c r="N316" s="7">
        <f>I316*L316</f>
        <v/>
      </c>
      <c r="O316" s="7">
        <f>N316-M316</f>
        <v/>
      </c>
      <c r="P316" s="7" t="n">
        <v>19.88857865659101</v>
      </c>
      <c r="Q316" s="4" t="inlineStr">
        <is>
          <t>kg</t>
        </is>
      </c>
      <c r="R316" s="4" t="inlineStr">
        <is>
          <t>9000 batch</t>
        </is>
      </c>
    </row>
    <row r="317">
      <c r="A317" s="4" t="inlineStr">
        <is>
          <t>Sourdough Bread</t>
        </is>
      </c>
      <c r="B317" s="4" t="inlineStr">
        <is>
          <t>PREPD</t>
        </is>
      </c>
      <c r="C317" s="4" t="inlineStr"/>
      <c r="D317" s="4" t="inlineStr"/>
      <c r="E317" s="4" t="inlineStr">
        <is>
          <t>Physically counted 2026-07-31</t>
        </is>
      </c>
      <c r="F317" s="4" t="inlineStr">
        <is>
          <t>2026-07-31</t>
        </is>
      </c>
      <c r="G317" s="5" t="n">
        <v>1</v>
      </c>
      <c r="H317" s="4" t="inlineStr">
        <is>
          <t>batch</t>
        </is>
      </c>
      <c r="I317" s="5" t="n">
        <v>72</v>
      </c>
      <c r="J317" s="4" t="inlineStr">
        <is>
          <t>each</t>
        </is>
      </c>
      <c r="K317" s="6" t="n">
        <v>0.2144010270091557</v>
      </c>
      <c r="L317" s="6" t="n">
        <v>0.2136450532413375</v>
      </c>
      <c r="M317" s="7">
        <f>I317*K317</f>
        <v/>
      </c>
      <c r="N317" s="7">
        <f>I317*L317</f>
        <v/>
      </c>
      <c r="O317" s="7">
        <f>N317-M317</f>
        <v/>
      </c>
      <c r="P317" s="7" t="n">
        <v>0.2136450532413375</v>
      </c>
      <c r="Q317" s="4" t="inlineStr">
        <is>
          <t>each</t>
        </is>
      </c>
      <c r="R317" s="4" t="inlineStr">
        <is>
          <t>72 batch</t>
        </is>
      </c>
    </row>
    <row r="318">
      <c r="A318" s="4" t="inlineStr">
        <is>
          <t>Sourdough Starter (Gary)</t>
        </is>
      </c>
      <c r="B318" s="4" t="inlineStr">
        <is>
          <t>PREPD</t>
        </is>
      </c>
      <c r="C318" s="4" t="inlineStr"/>
      <c r="D318" s="4" t="inlineStr"/>
      <c r="E318" s="4" t="inlineStr">
        <is>
          <t>Physically counted 2026-07-31</t>
        </is>
      </c>
      <c r="F318" s="4" t="inlineStr">
        <is>
          <t>2026-07-31</t>
        </is>
      </c>
      <c r="G318" s="5" t="n">
        <v>1</v>
      </c>
      <c r="H318" s="4" t="inlineStr">
        <is>
          <t>batch</t>
        </is>
      </c>
      <c r="I318" s="5" t="n">
        <v>2000</v>
      </c>
      <c r="J318" s="4" t="inlineStr">
        <is>
          <t>g</t>
        </is>
      </c>
      <c r="K318" s="6" t="n">
        <v>0.00275197900390625</v>
      </c>
      <c r="L318" s="6" t="n">
        <v>0.00275197900390625</v>
      </c>
      <c r="M318" s="7">
        <f>I318*K318</f>
        <v/>
      </c>
      <c r="N318" s="7">
        <f>I318*L318</f>
        <v/>
      </c>
      <c r="O318" s="7">
        <f>N318-M318</f>
        <v/>
      </c>
      <c r="P318" s="7" t="n">
        <v>2.75197900390625</v>
      </c>
      <c r="Q318" s="4" t="inlineStr">
        <is>
          <t>kg</t>
        </is>
      </c>
      <c r="R318" s="4" t="inlineStr">
        <is>
          <t>2000 batch</t>
        </is>
      </c>
    </row>
    <row r="319">
      <c r="A319" s="4" t="inlineStr">
        <is>
          <t>Strawberries and Rhubarb Compote</t>
        </is>
      </c>
      <c r="B319" s="4" t="inlineStr">
        <is>
          <t>PREPD</t>
        </is>
      </c>
      <c r="C319" s="4" t="inlineStr"/>
      <c r="D319" s="4" t="inlineStr"/>
      <c r="E319" s="4" t="inlineStr">
        <is>
          <t>Physically counted 2026-07-31</t>
        </is>
      </c>
      <c r="F319" s="4" t="inlineStr">
        <is>
          <t>2026-07-31</t>
        </is>
      </c>
      <c r="G319" s="5" t="n">
        <v>15.9</v>
      </c>
      <c r="H319" s="4" t="inlineStr">
        <is>
          <t>kg</t>
        </is>
      </c>
      <c r="I319" s="5" t="n">
        <v>15900</v>
      </c>
      <c r="J319" s="4" t="inlineStr">
        <is>
          <t>g</t>
        </is>
      </c>
      <c r="K319" s="6" t="n">
        <v>0.01028588373816618</v>
      </c>
      <c r="L319" s="6" t="n">
        <v>0.01042741197736884</v>
      </c>
      <c r="M319" s="7">
        <f>I319*K319</f>
        <v/>
      </c>
      <c r="N319" s="7">
        <f>I319*L319</f>
        <v/>
      </c>
      <c r="O319" s="7">
        <f>N319-M319</f>
        <v/>
      </c>
      <c r="P319" s="7" t="n">
        <v>10.42741197736884</v>
      </c>
      <c r="Q319" s="4" t="inlineStr">
        <is>
          <t>kg</t>
        </is>
      </c>
      <c r="R319" s="4" t="inlineStr">
        <is>
          <t>14000 batch</t>
        </is>
      </c>
    </row>
    <row r="320">
      <c r="A320" s="4" t="inlineStr">
        <is>
          <t>Sun Dried Tomato Aioli (Pesto Rosso)</t>
        </is>
      </c>
      <c r="B320" s="4" t="inlineStr">
        <is>
          <t>PREPD</t>
        </is>
      </c>
      <c r="C320" s="4" t="inlineStr"/>
      <c r="D320" s="4" t="inlineStr"/>
      <c r="E320" s="4" t="inlineStr">
        <is>
          <t>Physically counted 2026-07-31</t>
        </is>
      </c>
      <c r="F320" s="4" t="inlineStr">
        <is>
          <t>2026-07-31</t>
        </is>
      </c>
      <c r="G320" s="5" t="n">
        <v>2</v>
      </c>
      <c r="H320" s="4" t="inlineStr">
        <is>
          <t>kg</t>
        </is>
      </c>
      <c r="I320" s="5" t="n">
        <v>2000</v>
      </c>
      <c r="J320" s="4" t="inlineStr">
        <is>
          <t>g</t>
        </is>
      </c>
      <c r="K320" s="6" t="n">
        <v>0.01228174193634731</v>
      </c>
      <c r="L320" s="6" t="n">
        <v>0.01196308994440111</v>
      </c>
      <c r="M320" s="7">
        <f>I320*K320</f>
        <v/>
      </c>
      <c r="N320" s="7">
        <f>I320*L320</f>
        <v/>
      </c>
      <c r="O320" s="7">
        <f>N320-M320</f>
        <v/>
      </c>
      <c r="P320" s="7" t="n">
        <v>11.96308994440111</v>
      </c>
      <c r="Q320" s="4" t="inlineStr">
        <is>
          <t>kg</t>
        </is>
      </c>
      <c r="R320" s="4" t="inlineStr">
        <is>
          <t>1400 batch</t>
        </is>
      </c>
    </row>
    <row r="321">
      <c r="A321" s="4" t="inlineStr">
        <is>
          <t>Tonka Snow</t>
        </is>
      </c>
      <c r="B321" s="4" t="inlineStr">
        <is>
          <t>PREPD</t>
        </is>
      </c>
      <c r="C321" s="4" t="inlineStr"/>
      <c r="D321" s="4" t="inlineStr"/>
      <c r="E321" s="4" t="inlineStr">
        <is>
          <t>Physically counted 2026-07-31</t>
        </is>
      </c>
      <c r="F321" s="4" t="inlineStr">
        <is>
          <t>2026-07-31</t>
        </is>
      </c>
      <c r="G321" s="5" t="n">
        <v>0</v>
      </c>
      <c r="H321" s="4" t="inlineStr">
        <is>
          <t>batch</t>
        </is>
      </c>
      <c r="I321" s="5" t="n">
        <v>0</v>
      </c>
      <c r="J321" s="4" t="inlineStr">
        <is>
          <t>g</t>
        </is>
      </c>
      <c r="K321" s="6" t="n">
        <v>0.004361833333333334</v>
      </c>
      <c r="L321" s="6" t="n">
        <v>0.003981566666666667</v>
      </c>
      <c r="M321" s="7">
        <f>I321*K321</f>
        <v/>
      </c>
      <c r="N321" s="7">
        <f>I321*L321</f>
        <v/>
      </c>
      <c r="O321" s="7">
        <f>N321-M321</f>
        <v/>
      </c>
      <c r="P321" s="7" t="n">
        <v>3.981566666666667</v>
      </c>
      <c r="Q321" s="4" t="inlineStr">
        <is>
          <t>kg</t>
        </is>
      </c>
      <c r="R321" s="4" t="inlineStr">
        <is>
          <t>1000 batch</t>
        </is>
      </c>
    </row>
    <row r="322">
      <c r="A322" s="4" t="inlineStr">
        <is>
          <t>Vanilla Creme Patissiere (Pastry Cream)</t>
        </is>
      </c>
      <c r="B322" s="4" t="inlineStr">
        <is>
          <t>PREPD</t>
        </is>
      </c>
      <c r="C322" s="4" t="inlineStr"/>
      <c r="D322" s="4" t="inlineStr"/>
      <c r="E322" s="4" t="inlineStr">
        <is>
          <t>Physically counted 2026-07-31</t>
        </is>
      </c>
      <c r="F322" s="4" t="inlineStr">
        <is>
          <t>2026-07-31</t>
        </is>
      </c>
      <c r="G322" s="5" t="n">
        <v>8</v>
      </c>
      <c r="H322" s="4" t="inlineStr">
        <is>
          <t>kg</t>
        </is>
      </c>
      <c r="I322" s="5" t="n">
        <v>8000</v>
      </c>
      <c r="J322" s="4" t="inlineStr">
        <is>
          <t>g</t>
        </is>
      </c>
      <c r="K322" s="6" t="n">
        <v>0.01261986476625624</v>
      </c>
      <c r="L322" s="6" t="n">
        <v>0.01261986476625624</v>
      </c>
      <c r="M322" s="7">
        <f>I322*K322</f>
        <v/>
      </c>
      <c r="N322" s="7">
        <f>I322*L322</f>
        <v/>
      </c>
      <c r="O322" s="7">
        <f>N322-M322</f>
        <v/>
      </c>
      <c r="P322" s="7" t="n">
        <v>12.61986476625624</v>
      </c>
      <c r="Q322" s="4" t="inlineStr">
        <is>
          <t>kg</t>
        </is>
      </c>
      <c r="R322" s="4" t="inlineStr">
        <is>
          <t>1800 batch</t>
        </is>
      </c>
    </row>
    <row r="323">
      <c r="A323" s="4" t="inlineStr">
        <is>
          <t>Vinegar Reduction</t>
        </is>
      </c>
      <c r="B323" s="4" t="inlineStr">
        <is>
          <t>PREPD</t>
        </is>
      </c>
      <c r="C323" s="4" t="inlineStr"/>
      <c r="D323" s="4" t="inlineStr"/>
      <c r="E323" s="4" t="inlineStr">
        <is>
          <t>Physically counted 2026-07-31</t>
        </is>
      </c>
      <c r="F323" s="4" t="inlineStr">
        <is>
          <t>2026-07-31</t>
        </is>
      </c>
      <c r="G323" s="5" t="n">
        <v>2</v>
      </c>
      <c r="H323" s="4" t="inlineStr">
        <is>
          <t>l</t>
        </is>
      </c>
      <c r="I323" s="5" t="n">
        <v>2000</v>
      </c>
      <c r="J323" s="4" t="inlineStr">
        <is>
          <t>ml</t>
        </is>
      </c>
      <c r="K323" s="6" t="n">
        <v>0.02676209808568053</v>
      </c>
      <c r="L323" s="6" t="n">
        <v>0.02676209808568053</v>
      </c>
      <c r="M323" s="7">
        <f>I323*K323</f>
        <v/>
      </c>
      <c r="N323" s="7">
        <f>I323*L323</f>
        <v/>
      </c>
      <c r="O323" s="7">
        <f>N323-M323</f>
        <v/>
      </c>
      <c r="P323" s="7" t="n">
        <v>26.76209808568053</v>
      </c>
      <c r="Q323" s="4" t="inlineStr">
        <is>
          <t>L</t>
        </is>
      </c>
      <c r="R323" s="4" t="inlineStr">
        <is>
          <t>1250 batch</t>
        </is>
      </c>
    </row>
    <row r="324">
      <c r="A324" s="4" t="inlineStr">
        <is>
          <t>Apples</t>
        </is>
      </c>
      <c r="B324" s="4" t="inlineStr">
        <is>
          <t>PROD</t>
        </is>
      </c>
      <c r="C324" s="4" t="inlineStr">
        <is>
          <t>FRIDGE</t>
        </is>
      </c>
      <c r="D324" s="4" t="inlineStr"/>
      <c r="E324" s="4" t="inlineStr">
        <is>
          <t>Physically counted 2026-08-01</t>
        </is>
      </c>
      <c r="F324" s="4" t="inlineStr">
        <is>
          <t>2026-08-01</t>
        </is>
      </c>
      <c r="G324" s="5" t="n">
        <v>150</v>
      </c>
      <c r="H324" s="4" t="inlineStr">
        <is>
          <t>each</t>
        </is>
      </c>
      <c r="I324" s="5" t="n">
        <v>150</v>
      </c>
      <c r="J324" s="4" t="inlineStr">
        <is>
          <t>each</t>
        </is>
      </c>
      <c r="K324" s="6" t="n">
        <v>1.894166666666667</v>
      </c>
      <c r="L324" s="6" t="n">
        <v>1.894166666666667</v>
      </c>
      <c r="M324" s="7">
        <f>I324*K324</f>
        <v/>
      </c>
      <c r="N324" s="7">
        <f>I324*L324</f>
        <v/>
      </c>
      <c r="O324" s="7">
        <f>N324-M324</f>
        <v/>
      </c>
      <c r="P324" s="7" t="n">
        <v>1.894166666666667</v>
      </c>
      <c r="Q324" s="4" t="inlineStr">
        <is>
          <t>each</t>
        </is>
      </c>
      <c r="R324" s="4" t="inlineStr">
        <is>
          <t>12 case</t>
        </is>
      </c>
    </row>
    <row r="325">
      <c r="A325" s="4" t="inlineStr">
        <is>
          <t>Arugula</t>
        </is>
      </c>
      <c r="B325" s="4" t="inlineStr">
        <is>
          <t>PROD</t>
        </is>
      </c>
      <c r="C325" s="4" t="inlineStr">
        <is>
          <t>FRIDGE</t>
        </is>
      </c>
      <c r="D325" s="4" t="inlineStr">
        <is>
          <t>Sysco</t>
        </is>
      </c>
      <c r="E325" s="4" t="inlineStr">
        <is>
          <t>Physically counted 2026-08-01</t>
        </is>
      </c>
      <c r="F325" s="4" t="inlineStr">
        <is>
          <t>2026-08-01</t>
        </is>
      </c>
      <c r="G325" s="5" t="n">
        <v>0</v>
      </c>
      <c r="H325" s="4" t="inlineStr">
        <is>
          <t>kg</t>
        </is>
      </c>
      <c r="I325" s="5" t="n">
        <v>0</v>
      </c>
      <c r="J325" s="4" t="inlineStr">
        <is>
          <t>g</t>
        </is>
      </c>
      <c r="K325" s="6" t="n">
        <v>0.02220056791125064</v>
      </c>
      <c r="L325" s="6" t="n">
        <v>0.02220056791125064</v>
      </c>
      <c r="M325" s="7">
        <f>I325*K325</f>
        <v/>
      </c>
      <c r="N325" s="7">
        <f>I325*L325</f>
        <v/>
      </c>
      <c r="O325" s="7">
        <f>N325-M325</f>
        <v/>
      </c>
      <c r="P325" s="7" t="n">
        <v>22.20056791125064</v>
      </c>
      <c r="Q325" s="4" t="inlineStr">
        <is>
          <t>kg</t>
        </is>
      </c>
      <c r="R325" s="4" t="inlineStr">
        <is>
          <t>1 case → 907.184 each</t>
        </is>
      </c>
    </row>
    <row r="326">
      <c r="A326" s="4" t="inlineStr">
        <is>
          <t>ASPARAGUS FRESH LARGE</t>
        </is>
      </c>
      <c r="B326" s="4" t="inlineStr">
        <is>
          <t>PROD</t>
        </is>
      </c>
      <c r="C326" s="4" t="inlineStr"/>
      <c r="D326" s="4" t="inlineStr">
        <is>
          <t>Sysco</t>
        </is>
      </c>
      <c r="E326" s="4" t="inlineStr">
        <is>
          <t>Physically counted 2026-08-01</t>
        </is>
      </c>
      <c r="F326" s="4" t="inlineStr">
        <is>
          <t>2026-08-01</t>
        </is>
      </c>
      <c r="G326" s="5" t="n">
        <v>0</v>
      </c>
      <c r="H326" s="4" t="inlineStr">
        <is>
          <t>each</t>
        </is>
      </c>
      <c r="I326" s="5" t="n">
        <v>0</v>
      </c>
      <c r="J326" s="4" t="inlineStr">
        <is>
          <t>g</t>
        </is>
      </c>
      <c r="K326" s="6" t="n">
        <v>0.01683330955011231</v>
      </c>
      <c r="L326" s="6" t="n">
        <v>0.01683330955011231</v>
      </c>
      <c r="M326" s="7">
        <f>I326*K326</f>
        <v/>
      </c>
      <c r="N326" s="7">
        <f>I326*L326</f>
        <v/>
      </c>
      <c r="O326" s="7">
        <f>N326-M326</f>
        <v/>
      </c>
      <c r="P326" s="7" t="n">
        <v>16.83330955011231</v>
      </c>
      <c r="Q326" s="4" t="inlineStr">
        <is>
          <t>kg</t>
        </is>
      </c>
      <c r="R326" s="4" t="inlineStr">
        <is>
          <t>1 case → 4989.512 each</t>
        </is>
      </c>
    </row>
    <row r="327">
      <c r="A327" s="4" t="inlineStr">
        <is>
          <t>Avocado</t>
        </is>
      </c>
      <c r="B327" s="4" t="inlineStr">
        <is>
          <t>PROD</t>
        </is>
      </c>
      <c r="C327" s="4" t="inlineStr">
        <is>
          <t>FRIDGE</t>
        </is>
      </c>
      <c r="D327" s="4" t="inlineStr">
        <is>
          <t>Sysco</t>
        </is>
      </c>
      <c r="E327" s="4" t="inlineStr">
        <is>
          <t>Physically counted 2026-08-01</t>
        </is>
      </c>
      <c r="F327" s="4" t="inlineStr">
        <is>
          <t>2026-08-01</t>
        </is>
      </c>
      <c r="G327" s="5" t="n">
        <v>1.4</v>
      </c>
      <c r="H327" s="4" t="inlineStr">
        <is>
          <t>case</t>
        </is>
      </c>
      <c r="I327" s="5" t="n">
        <v>98</v>
      </c>
      <c r="J327" s="4" t="inlineStr">
        <is>
          <t>each</t>
        </is>
      </c>
      <c r="K327" s="6" t="n">
        <v>0.9427142857142856</v>
      </c>
      <c r="L327" s="6" t="n">
        <v>0.9422857142857142</v>
      </c>
      <c r="M327" s="7">
        <f>I327*K327</f>
        <v/>
      </c>
      <c r="N327" s="7">
        <f>I327*L327</f>
        <v/>
      </c>
      <c r="O327" s="7">
        <f>N327-M327</f>
        <v/>
      </c>
      <c r="P327" s="7" t="n">
        <v>0.9422857142857142</v>
      </c>
      <c r="Q327" s="4" t="inlineStr">
        <is>
          <t>each</t>
        </is>
      </c>
      <c r="R327" s="4" t="inlineStr">
        <is>
          <t>70 case</t>
        </is>
      </c>
    </row>
    <row r="328">
      <c r="A328" s="4" t="inlineStr">
        <is>
          <t>Baby Mixed Greens</t>
        </is>
      </c>
      <c r="B328" s="4" t="inlineStr">
        <is>
          <t>PROD</t>
        </is>
      </c>
      <c r="C328" s="4" t="inlineStr"/>
      <c r="D328" s="4" t="inlineStr">
        <is>
          <t>Brew Creek Farm</t>
        </is>
      </c>
      <c r="E328" s="4" t="inlineStr">
        <is>
          <t>Physically counted 2026-08-01</t>
        </is>
      </c>
      <c r="F328" s="4" t="inlineStr">
        <is>
          <t>2026-08-01</t>
        </is>
      </c>
      <c r="G328" s="5" t="n">
        <v>5</v>
      </c>
      <c r="H328" s="4" t="inlineStr">
        <is>
          <t>lb</t>
        </is>
      </c>
      <c r="I328" s="5" t="n">
        <v>2267.96</v>
      </c>
      <c r="J328" s="4" t="inlineStr">
        <is>
          <t>g</t>
        </is>
      </c>
      <c r="K328" s="6" t="n">
        <v>0.03516375950193125</v>
      </c>
      <c r="L328" s="6" t="n">
        <v>0.03516375950193125</v>
      </c>
      <c r="M328" s="7">
        <f>I328*K328</f>
        <v/>
      </c>
      <c r="N328" s="7">
        <f>I328*L328</f>
        <v/>
      </c>
      <c r="O328" s="7">
        <f>N328-M328</f>
        <v/>
      </c>
      <c r="P328" s="7" t="n">
        <v>35.16375950193125</v>
      </c>
      <c r="Q328" s="4" t="inlineStr">
        <is>
          <t>kg</t>
        </is>
      </c>
      <c r="R328" s="4" t="inlineStr">
        <is>
          <t>453.592 box</t>
        </is>
      </c>
    </row>
    <row r="329">
      <c r="A329" s="4" t="inlineStr">
        <is>
          <t>Basil</t>
        </is>
      </c>
      <c r="B329" s="4" t="inlineStr">
        <is>
          <t>PROD</t>
        </is>
      </c>
      <c r="C329" s="4" t="inlineStr">
        <is>
          <t>FRIDGE</t>
        </is>
      </c>
      <c r="D329" s="4" t="inlineStr">
        <is>
          <t>Sysco</t>
        </is>
      </c>
      <c r="E329" s="4" t="inlineStr">
        <is>
          <t>Physically counted 2026-08-01</t>
        </is>
      </c>
      <c r="F329" s="4" t="inlineStr">
        <is>
          <t>2026-08-01</t>
        </is>
      </c>
      <c r="G329" s="5" t="n">
        <v>1</v>
      </c>
      <c r="H329" s="4" t="inlineStr">
        <is>
          <t>lb</t>
        </is>
      </c>
      <c r="I329" s="5" t="n">
        <v>453.592</v>
      </c>
      <c r="J329" s="4" t="inlineStr">
        <is>
          <t>g</t>
        </is>
      </c>
      <c r="K329" s="6" t="n">
        <v>0.05165435016490591</v>
      </c>
      <c r="L329" s="6" t="n">
        <v>0.0513016102576765</v>
      </c>
      <c r="M329" s="7">
        <f>I329*K329</f>
        <v/>
      </c>
      <c r="N329" s="7">
        <f>I329*L329</f>
        <v/>
      </c>
      <c r="O329" s="7">
        <f>N329-M329</f>
        <v/>
      </c>
      <c r="P329" s="7" t="n">
        <v>51.3016102576765</v>
      </c>
      <c r="Q329" s="4" t="inlineStr">
        <is>
          <t>kg</t>
        </is>
      </c>
      <c r="R329" s="4" t="inlineStr">
        <is>
          <t>453.592 case</t>
        </is>
      </c>
    </row>
    <row r="330">
      <c r="A330" s="4" t="inlineStr">
        <is>
          <t>Beets</t>
        </is>
      </c>
      <c r="B330" s="4" t="inlineStr">
        <is>
          <t>PROD</t>
        </is>
      </c>
      <c r="C330" s="4" t="inlineStr">
        <is>
          <t>FRIDGE</t>
        </is>
      </c>
      <c r="D330" s="4" t="inlineStr">
        <is>
          <t>Sysco</t>
        </is>
      </c>
      <c r="E330" s="4" t="inlineStr">
        <is>
          <t>Physically counted 2026-08-01</t>
        </is>
      </c>
      <c r="F330" s="4" t="inlineStr">
        <is>
          <t>2026-08-01</t>
        </is>
      </c>
      <c r="G330" s="5" t="n">
        <v>0</v>
      </c>
      <c r="H330" s="4" t="inlineStr">
        <is>
          <t>kg</t>
        </is>
      </c>
      <c r="I330" s="5" t="n">
        <v>0</v>
      </c>
      <c r="J330" s="4" t="inlineStr">
        <is>
          <t>g</t>
        </is>
      </c>
      <c r="K330" s="6" t="n">
        <v>0.008902273408702093</v>
      </c>
      <c r="L330" s="6" t="n">
        <v>0.008902273408702093</v>
      </c>
      <c r="M330" s="7">
        <f>I330*K330</f>
        <v/>
      </c>
      <c r="N330" s="7">
        <f>I330*L330</f>
        <v/>
      </c>
      <c r="O330" s="7">
        <f>N330-M330</f>
        <v/>
      </c>
      <c r="P330" s="7" t="n">
        <v>8.902273408702094</v>
      </c>
      <c r="Q330" s="4" t="inlineStr">
        <is>
          <t>kg</t>
        </is>
      </c>
      <c r="R330" s="4" t="inlineStr">
        <is>
          <t>1 each → 4535.92 each</t>
        </is>
      </c>
    </row>
    <row r="331">
      <c r="A331" s="4" t="inlineStr">
        <is>
          <t>BLUEBERRY FRESH</t>
        </is>
      </c>
      <c r="B331" s="4" t="inlineStr">
        <is>
          <t>PROD</t>
        </is>
      </c>
      <c r="C331" s="4" t="inlineStr">
        <is>
          <t>FRIDGE</t>
        </is>
      </c>
      <c r="D331" s="4" t="inlineStr">
        <is>
          <t>Sysco</t>
        </is>
      </c>
      <c r="E331" s="4" t="inlineStr">
        <is>
          <t>Physically counted 2026-08-01</t>
        </is>
      </c>
      <c r="F331" s="4" t="inlineStr">
        <is>
          <t>2026-08-01</t>
        </is>
      </c>
      <c r="G331" s="5" t="n">
        <v>0</v>
      </c>
      <c r="H331" s="4" t="inlineStr">
        <is>
          <t>case</t>
        </is>
      </c>
      <c r="I331" s="5" t="n">
        <v>0</v>
      </c>
      <c r="J331" s="4" t="inlineStr">
        <is>
          <t>g</t>
        </is>
      </c>
      <c r="K331" s="6" t="n">
        <v>0.03262354225334172</v>
      </c>
      <c r="L331" s="6" t="n">
        <v>0.03262354225334172</v>
      </c>
      <c r="M331" s="7">
        <f>I331*K331</f>
        <v/>
      </c>
      <c r="N331" s="7">
        <f>I331*L331</f>
        <v/>
      </c>
      <c r="O331" s="7">
        <f>N331-M331</f>
        <v/>
      </c>
      <c r="P331" s="7" t="n">
        <v>32.62354225334172</v>
      </c>
      <c r="Q331" s="4" t="inlineStr">
        <is>
          <t>kg</t>
        </is>
      </c>
      <c r="R331" s="4" t="inlineStr">
        <is>
          <t>12 case → 170.097 clamshell</t>
        </is>
      </c>
    </row>
    <row r="332">
      <c r="A332" s="4" t="inlineStr">
        <is>
          <t>BROCCOLINI FRESH SWEET BABY</t>
        </is>
      </c>
      <c r="B332" s="4" t="inlineStr">
        <is>
          <t>PROD</t>
        </is>
      </c>
      <c r="C332" s="4" t="inlineStr"/>
      <c r="D332" s="4" t="inlineStr">
        <is>
          <t>Sysco</t>
        </is>
      </c>
      <c r="E332" s="4" t="inlineStr">
        <is>
          <t>Physically counted 2026-08-01</t>
        </is>
      </c>
      <c r="F332" s="4" t="inlineStr">
        <is>
          <t>2026-08-01</t>
        </is>
      </c>
      <c r="G332" s="5" t="n">
        <v>0</v>
      </c>
      <c r="H332" s="4" t="inlineStr">
        <is>
          <t>each</t>
        </is>
      </c>
      <c r="I332" s="5" t="n">
        <v>0</v>
      </c>
      <c r="J332" s="4" t="inlineStr">
        <is>
          <t>g</t>
        </is>
      </c>
      <c r="K332" s="6" t="n">
        <v>0.01688742305860774</v>
      </c>
      <c r="L332" s="6" t="n">
        <v>0.01688742305860774</v>
      </c>
      <c r="M332" s="7">
        <f>I332*K332</f>
        <v/>
      </c>
      <c r="N332" s="7">
        <f>I332*L332</f>
        <v/>
      </c>
      <c r="O332" s="7">
        <f>N332-M332</f>
        <v/>
      </c>
      <c r="P332" s="7" t="n">
        <v>16.88742305860774</v>
      </c>
      <c r="Q332" s="4" t="inlineStr">
        <is>
          <t>kg</t>
        </is>
      </c>
      <c r="R332" s="4" t="inlineStr">
        <is>
          <t>3 case → 907.184 each</t>
        </is>
      </c>
    </row>
    <row r="333">
      <c r="A333" s="4" t="inlineStr">
        <is>
          <t>Brussel Sprouts</t>
        </is>
      </c>
      <c r="B333" s="4" t="inlineStr">
        <is>
          <t>PROD</t>
        </is>
      </c>
      <c r="C333" s="4" t="inlineStr"/>
      <c r="D333" s="4" t="inlineStr">
        <is>
          <t>Sysco</t>
        </is>
      </c>
      <c r="E333" s="4" t="inlineStr">
        <is>
          <t>Physically counted 2026-08-01</t>
        </is>
      </c>
      <c r="F333" s="4" t="inlineStr">
        <is>
          <t>2026-08-01</t>
        </is>
      </c>
      <c r="G333" s="5" t="n">
        <v>0</v>
      </c>
      <c r="H333" s="4" t="inlineStr">
        <is>
          <t>kg</t>
        </is>
      </c>
      <c r="I333" s="5" t="n">
        <v>0</v>
      </c>
      <c r="J333" s="4" t="inlineStr">
        <is>
          <t>g</t>
        </is>
      </c>
      <c r="K333" s="6" t="n">
        <v>0.005312263002874831</v>
      </c>
      <c r="L333" s="6" t="n">
        <v>0.005312263002874831</v>
      </c>
      <c r="M333" s="7">
        <f>I333*K333</f>
        <v/>
      </c>
      <c r="N333" s="7">
        <f>I333*L333</f>
        <v/>
      </c>
      <c r="O333" s="7">
        <f>N333-M333</f>
        <v/>
      </c>
      <c r="P333" s="7" t="n">
        <v>5.312263002874831</v>
      </c>
      <c r="Q333" s="4" t="inlineStr">
        <is>
          <t>kg</t>
        </is>
      </c>
      <c r="R333" s="4" t="inlineStr">
        <is>
          <t>1 each → 11339.8 each</t>
        </is>
      </c>
    </row>
    <row r="334">
      <c r="A334" s="4" t="inlineStr">
        <is>
          <t>CABBAGE RED FDSVC</t>
        </is>
      </c>
      <c r="B334" s="4" t="inlineStr">
        <is>
          <t>PROD</t>
        </is>
      </c>
      <c r="C334" s="4" t="inlineStr"/>
      <c r="D334" s="4" t="inlineStr"/>
      <c r="E334" s="4" t="inlineStr">
        <is>
          <t>Physically counted 2026-08-01</t>
        </is>
      </c>
      <c r="F334" s="4" t="inlineStr">
        <is>
          <t>2026-08-01</t>
        </is>
      </c>
      <c r="G334" s="5" t="n">
        <v>5</v>
      </c>
      <c r="H334" s="4" t="inlineStr">
        <is>
          <t>each</t>
        </is>
      </c>
      <c r="I334" s="5" t="n">
        <v>5</v>
      </c>
      <c r="J334" s="4" t="inlineStr">
        <is>
          <t>each</t>
        </is>
      </c>
      <c r="K334" s="6" t="n">
        <v>6.94</v>
      </c>
      <c r="L334" s="6" t="n">
        <v>12.69666666666667</v>
      </c>
      <c r="M334" s="7">
        <f>I334*K334</f>
        <v/>
      </c>
      <c r="N334" s="7">
        <f>I334*L334</f>
        <v/>
      </c>
      <c r="O334" s="7">
        <f>N334-M334</f>
        <v/>
      </c>
      <c r="P334" s="7" t="n">
        <v>12.69666666666667</v>
      </c>
      <c r="Q334" s="4" t="inlineStr">
        <is>
          <t>each</t>
        </is>
      </c>
      <c r="R334" s="4" t="inlineStr">
        <is>
          <t>3 case</t>
        </is>
      </c>
    </row>
    <row r="335">
      <c r="A335" s="4" t="inlineStr">
        <is>
          <t>Carrots</t>
        </is>
      </c>
      <c r="B335" s="4" t="inlineStr">
        <is>
          <t>PROD</t>
        </is>
      </c>
      <c r="C335" s="4" t="inlineStr">
        <is>
          <t>FRIDGE</t>
        </is>
      </c>
      <c r="D335" s="4" t="inlineStr">
        <is>
          <t>Sysco</t>
        </is>
      </c>
      <c r="E335" s="4" t="inlineStr">
        <is>
          <t>Physically counted 2026-08-01</t>
        </is>
      </c>
      <c r="F335" s="4" t="inlineStr">
        <is>
          <t>2026-08-01</t>
        </is>
      </c>
      <c r="G335" s="5" t="n">
        <v>5</v>
      </c>
      <c r="H335" s="4" t="inlineStr">
        <is>
          <t>lb</t>
        </is>
      </c>
      <c r="I335" s="5" t="n">
        <v>2267.96</v>
      </c>
      <c r="J335" s="4" t="inlineStr">
        <is>
          <t>g</t>
        </is>
      </c>
      <c r="K335" s="6" t="n">
        <v>0.007363445563413817</v>
      </c>
      <c r="L335" s="6" t="n">
        <v>0.007363445563413817</v>
      </c>
      <c r="M335" s="7">
        <f>I335*K335</f>
        <v/>
      </c>
      <c r="N335" s="7">
        <f>I335*L335</f>
        <v/>
      </c>
      <c r="O335" s="7">
        <f>N335-M335</f>
        <v/>
      </c>
      <c r="P335" s="7" t="n">
        <v>7.363445563413817</v>
      </c>
      <c r="Q335" s="4" t="inlineStr">
        <is>
          <t>kg</t>
        </is>
      </c>
      <c r="R335" s="4" t="inlineStr">
        <is>
          <t>1 each → 4535.92 each</t>
        </is>
      </c>
    </row>
    <row r="336">
      <c r="A336" s="4" t="inlineStr">
        <is>
          <t>Celery</t>
        </is>
      </c>
      <c r="B336" s="4" t="inlineStr">
        <is>
          <t>PROD</t>
        </is>
      </c>
      <c r="C336" s="4" t="inlineStr"/>
      <c r="D336" s="4" t="inlineStr">
        <is>
          <t>Sysco</t>
        </is>
      </c>
      <c r="E336" s="4" t="inlineStr">
        <is>
          <t>Physically counted 2026-08-01</t>
        </is>
      </c>
      <c r="F336" s="4" t="inlineStr">
        <is>
          <t>2026-08-01</t>
        </is>
      </c>
      <c r="G336" s="5" t="n">
        <v>7</v>
      </c>
      <c r="H336" s="4" t="inlineStr">
        <is>
          <t>each</t>
        </is>
      </c>
      <c r="I336" s="5" t="n">
        <v>7</v>
      </c>
      <c r="J336" s="4" t="inlineStr">
        <is>
          <t>each</t>
        </is>
      </c>
      <c r="K336" s="6" t="n">
        <v>0.8206666666666667</v>
      </c>
      <c r="L336" s="6" t="n">
        <v>0.9183333333333333</v>
      </c>
      <c r="M336" s="7">
        <f>I336*K336</f>
        <v/>
      </c>
      <c r="N336" s="7">
        <f>I336*L336</f>
        <v/>
      </c>
      <c r="O336" s="7">
        <f>N336-M336</f>
        <v/>
      </c>
      <c r="P336" s="7" t="n">
        <v>0.9183333333333333</v>
      </c>
      <c r="Q336" s="4" t="inlineStr">
        <is>
          <t>each</t>
        </is>
      </c>
      <c r="R336" s="4" t="inlineStr">
        <is>
          <t>5 case → 6 pack</t>
        </is>
      </c>
    </row>
    <row r="337">
      <c r="A337" s="4" t="inlineStr">
        <is>
          <t>Chilli Red Thai</t>
        </is>
      </c>
      <c r="B337" s="4" t="inlineStr">
        <is>
          <t>PROD</t>
        </is>
      </c>
      <c r="C337" s="4" t="inlineStr">
        <is>
          <t>FREEZER</t>
        </is>
      </c>
      <c r="D337" s="4" t="inlineStr">
        <is>
          <t>Sysco</t>
        </is>
      </c>
      <c r="E337" s="4" t="inlineStr">
        <is>
          <t>Physically counted 2026-08-01</t>
        </is>
      </c>
      <c r="F337" s="4" t="inlineStr">
        <is>
          <t>2026-08-01</t>
        </is>
      </c>
      <c r="G337" s="5" t="n">
        <v>3.4</v>
      </c>
      <c r="H337" s="4" t="inlineStr">
        <is>
          <t>kg</t>
        </is>
      </c>
      <c r="I337" s="5" t="n">
        <v>3400</v>
      </c>
      <c r="J337" s="4" t="inlineStr">
        <is>
          <t>g</t>
        </is>
      </c>
      <c r="K337" s="6" t="n">
        <v>0.09382222222222222</v>
      </c>
      <c r="L337" s="6" t="n">
        <v>0.09382222222222222</v>
      </c>
      <c r="M337" s="7">
        <f>I337*K337</f>
        <v/>
      </c>
      <c r="N337" s="7">
        <f>I337*L337</f>
        <v/>
      </c>
      <c r="O337" s="7">
        <f>N337-M337</f>
        <v/>
      </c>
      <c r="P337" s="7" t="n">
        <v>93.82222222222222</v>
      </c>
      <c r="Q337" s="4" t="inlineStr">
        <is>
          <t>kg</t>
        </is>
      </c>
      <c r="R337" s="4" t="inlineStr">
        <is>
          <t>1 case → 450 each</t>
        </is>
      </c>
    </row>
    <row r="338">
      <c r="A338" s="4" t="inlineStr">
        <is>
          <t>Chives</t>
        </is>
      </c>
      <c r="B338" s="4" t="inlineStr">
        <is>
          <t>PROD</t>
        </is>
      </c>
      <c r="C338" s="4" t="inlineStr">
        <is>
          <t>FRIDGE</t>
        </is>
      </c>
      <c r="D338" s="4" t="inlineStr">
        <is>
          <t>Sysco</t>
        </is>
      </c>
      <c r="E338" s="4" t="inlineStr">
        <is>
          <t>Physically counted 2026-08-01</t>
        </is>
      </c>
      <c r="F338" s="4" t="inlineStr">
        <is>
          <t>2026-08-01</t>
        </is>
      </c>
      <c r="G338" s="5" t="n">
        <v>2</v>
      </c>
      <c r="H338" s="4" t="inlineStr">
        <is>
          <t>lb</t>
        </is>
      </c>
      <c r="I338" s="5" t="n">
        <v>907.184</v>
      </c>
      <c r="J338" s="4" t="inlineStr">
        <is>
          <t>g</t>
        </is>
      </c>
      <c r="K338" s="6" t="n">
        <v>0.07308329952909222</v>
      </c>
      <c r="L338" s="6" t="n">
        <v>0.07308329952909222</v>
      </c>
      <c r="M338" s="7">
        <f>I338*K338</f>
        <v/>
      </c>
      <c r="N338" s="7">
        <f>I338*L338</f>
        <v/>
      </c>
      <c r="O338" s="7">
        <f>N338-M338</f>
        <v/>
      </c>
      <c r="P338" s="7" t="n">
        <v>73.08329952909222</v>
      </c>
      <c r="Q338" s="4" t="inlineStr">
        <is>
          <t>kg</t>
        </is>
      </c>
      <c r="R338" s="4" t="inlineStr">
        <is>
          <t>453.592 case</t>
        </is>
      </c>
    </row>
    <row r="339">
      <c r="A339" s="4" t="inlineStr">
        <is>
          <t>Cilantro</t>
        </is>
      </c>
      <c r="B339" s="4" t="inlineStr">
        <is>
          <t>PROD</t>
        </is>
      </c>
      <c r="C339" s="4" t="inlineStr">
        <is>
          <t>FRIDGE</t>
        </is>
      </c>
      <c r="D339" s="4" t="inlineStr">
        <is>
          <t>Sysco</t>
        </is>
      </c>
      <c r="E339" s="4" t="inlineStr">
        <is>
          <t>Physically counted 2026-08-01</t>
        </is>
      </c>
      <c r="F339" s="4" t="inlineStr">
        <is>
          <t>2026-08-01</t>
        </is>
      </c>
      <c r="G339" s="5" t="n">
        <v>5</v>
      </c>
      <c r="H339" s="4" t="inlineStr">
        <is>
          <t>lb</t>
        </is>
      </c>
      <c r="I339" s="5" t="n">
        <v>2267.96</v>
      </c>
      <c r="J339" s="4" t="inlineStr">
        <is>
          <t>g</t>
        </is>
      </c>
      <c r="K339" s="6" t="n">
        <v>0.02253126157427821</v>
      </c>
      <c r="L339" s="6" t="n">
        <v>0.02253126157427821</v>
      </c>
      <c r="M339" s="7">
        <f>I339*K339</f>
        <v/>
      </c>
      <c r="N339" s="7">
        <f>I339*L339</f>
        <v/>
      </c>
      <c r="O339" s="7">
        <f>N339-M339</f>
        <v/>
      </c>
      <c r="P339" s="7" t="n">
        <v>22.53126157427821</v>
      </c>
      <c r="Q339" s="4" t="inlineStr">
        <is>
          <t>kg</t>
        </is>
      </c>
      <c r="R339" s="4" t="inlineStr">
        <is>
          <t>4 case → 453.592 each</t>
        </is>
      </c>
    </row>
    <row r="340">
      <c r="A340" s="4" t="inlineStr">
        <is>
          <t>Ciucumber Medium</t>
        </is>
      </c>
      <c r="B340" s="4" t="inlineStr">
        <is>
          <t>PROD</t>
        </is>
      </c>
      <c r="C340" s="4" t="inlineStr"/>
      <c r="D340" s="4" t="inlineStr"/>
      <c r="E340" s="4" t="inlineStr">
        <is>
          <t>Physically counted 2026-08-01</t>
        </is>
      </c>
      <c r="F340" s="4" t="inlineStr">
        <is>
          <t>2026-08-01</t>
        </is>
      </c>
      <c r="G340" s="5" t="n">
        <v>0</v>
      </c>
      <c r="H340" s="4" t="inlineStr">
        <is>
          <t>case</t>
        </is>
      </c>
      <c r="I340" s="5" t="n">
        <v>0</v>
      </c>
      <c r="J340" s="4" t="inlineStr">
        <is>
          <t>each</t>
        </is>
      </c>
      <c r="K340" s="6" t="n">
        <v>1.66625</v>
      </c>
      <c r="L340" s="6" t="n">
        <v>1.66625</v>
      </c>
      <c r="M340" s="7">
        <f>I340*K340</f>
        <v/>
      </c>
      <c r="N340" s="7">
        <f>I340*L340</f>
        <v/>
      </c>
      <c r="O340" s="7">
        <f>N340-M340</f>
        <v/>
      </c>
      <c r="P340" s="7" t="n">
        <v>1.66625</v>
      </c>
      <c r="Q340" s="4" t="inlineStr">
        <is>
          <t>each</t>
        </is>
      </c>
      <c r="R340" s="4" t="inlineStr">
        <is>
          <t>24 case</t>
        </is>
      </c>
    </row>
    <row r="341">
      <c r="A341" s="4" t="inlineStr">
        <is>
          <t>CUCUMBER FRESH</t>
        </is>
      </c>
      <c r="B341" s="4" t="inlineStr">
        <is>
          <t>PROD</t>
        </is>
      </c>
      <c r="C341" s="4" t="inlineStr"/>
      <c r="D341" s="4" t="inlineStr">
        <is>
          <t>Sysco</t>
        </is>
      </c>
      <c r="E341" s="4" t="inlineStr">
        <is>
          <t>Physically counted 2026-08-01</t>
        </is>
      </c>
      <c r="F341" s="4" t="inlineStr">
        <is>
          <t>2026-08-01</t>
        </is>
      </c>
      <c r="G341" s="5" t="n">
        <v>0</v>
      </c>
      <c r="H341" s="4" t="inlineStr">
        <is>
          <t>each</t>
        </is>
      </c>
      <c r="I341" s="5" t="n">
        <v>0</v>
      </c>
      <c r="J341" s="4" t="inlineStr">
        <is>
          <t>each</t>
        </is>
      </c>
      <c r="K341" s="6" t="n">
        <v>0.7158333333333333</v>
      </c>
      <c r="L341" s="6" t="n">
        <v>0.7158333333333333</v>
      </c>
      <c r="M341" s="7">
        <f>I341*K341</f>
        <v/>
      </c>
      <c r="N341" s="7">
        <f>I341*L341</f>
        <v/>
      </c>
      <c r="O341" s="7">
        <f>N341-M341</f>
        <v/>
      </c>
      <c r="P341" s="7" t="n">
        <v>0.7158333333333333</v>
      </c>
      <c r="Q341" s="4" t="inlineStr">
        <is>
          <t>each</t>
        </is>
      </c>
      <c r="R341" s="4" t="inlineStr">
        <is>
          <t>24 case → 1 each</t>
        </is>
      </c>
    </row>
    <row r="342">
      <c r="A342" s="4" t="inlineStr">
        <is>
          <t>Cucumber Long</t>
        </is>
      </c>
      <c r="B342" s="4" t="inlineStr">
        <is>
          <t>PROD</t>
        </is>
      </c>
      <c r="C342" s="4" t="inlineStr">
        <is>
          <t>FRIDGE</t>
        </is>
      </c>
      <c r="D342" s="4" t="inlineStr">
        <is>
          <t>Sysco</t>
        </is>
      </c>
      <c r="E342" s="4" t="inlineStr">
        <is>
          <t>Physically counted 2026-08-01</t>
        </is>
      </c>
      <c r="F342" s="4" t="inlineStr">
        <is>
          <t>2026-08-01</t>
        </is>
      </c>
      <c r="G342" s="5" t="n">
        <v>0</v>
      </c>
      <c r="H342" s="4" t="inlineStr">
        <is>
          <t>each</t>
        </is>
      </c>
      <c r="I342" s="5" t="n">
        <v>0</v>
      </c>
      <c r="J342" s="4" t="inlineStr">
        <is>
          <t>each</t>
        </is>
      </c>
      <c r="K342" s="6" t="n">
        <v>3.743333333333334</v>
      </c>
      <c r="L342" s="6" t="n">
        <v>3.743333333333334</v>
      </c>
      <c r="M342" s="7">
        <f>I342*K342</f>
        <v/>
      </c>
      <c r="N342" s="7">
        <f>I342*L342</f>
        <v/>
      </c>
      <c r="O342" s="7">
        <f>N342-M342</f>
        <v/>
      </c>
      <c r="P342" s="7" t="n">
        <v>3.743333333333334</v>
      </c>
      <c r="Q342" s="4" t="inlineStr">
        <is>
          <t>each</t>
        </is>
      </c>
      <c r="R342" s="4" t="inlineStr">
        <is>
          <t>6 case</t>
        </is>
      </c>
    </row>
    <row r="343">
      <c r="A343" s="4" t="inlineStr">
        <is>
          <t>Cucumbers, Lebanese O/S</t>
        </is>
      </c>
      <c r="B343" s="4" t="inlineStr">
        <is>
          <t>PROD</t>
        </is>
      </c>
      <c r="C343" s="4" t="inlineStr">
        <is>
          <t>FRIDGE</t>
        </is>
      </c>
      <c r="D343" s="4" t="inlineStr">
        <is>
          <t>North Arm Farms</t>
        </is>
      </c>
      <c r="E343" s="4" t="inlineStr">
        <is>
          <t>Physically counted 2026-08-01</t>
        </is>
      </c>
      <c r="F343" s="4" t="inlineStr">
        <is>
          <t>2026-08-01</t>
        </is>
      </c>
      <c r="G343" s="5" t="n">
        <v>0</v>
      </c>
      <c r="H343" s="4" t="inlineStr">
        <is>
          <t>lb</t>
        </is>
      </c>
      <c r="I343" s="5" t="n">
        <v>0</v>
      </c>
      <c r="J343" s="4" t="inlineStr">
        <is>
          <t>g</t>
        </is>
      </c>
      <c r="K343" s="6" t="n">
        <v>0.009678301204606783</v>
      </c>
      <c r="L343" s="6" t="n">
        <v>0.009678301204606783</v>
      </c>
      <c r="M343" s="7">
        <f>I343*K343</f>
        <v/>
      </c>
      <c r="N343" s="7">
        <f>I343*L343</f>
        <v/>
      </c>
      <c r="O343" s="7">
        <f>N343-M343</f>
        <v/>
      </c>
      <c r="P343" s="7" t="n">
        <v>9.678301204606782</v>
      </c>
      <c r="Q343" s="4" t="inlineStr">
        <is>
          <t>kg</t>
        </is>
      </c>
      <c r="R343" s="4" t="inlineStr">
        <is>
          <t>453.592 each</t>
        </is>
      </c>
    </row>
    <row r="344">
      <c r="A344" s="4" t="inlineStr">
        <is>
          <t>Dill</t>
        </is>
      </c>
      <c r="B344" s="4" t="inlineStr">
        <is>
          <t>PROD</t>
        </is>
      </c>
      <c r="C344" s="4" t="inlineStr">
        <is>
          <t>FRIDGE</t>
        </is>
      </c>
      <c r="D344" s="4" t="inlineStr">
        <is>
          <t>Sysco</t>
        </is>
      </c>
      <c r="E344" s="4" t="inlineStr">
        <is>
          <t>Physically counted 2026-08-01</t>
        </is>
      </c>
      <c r="F344" s="4" t="inlineStr">
        <is>
          <t>2026-08-01</t>
        </is>
      </c>
      <c r="G344" s="5" t="n">
        <v>2</v>
      </c>
      <c r="H344" s="4" t="inlineStr">
        <is>
          <t>lb</t>
        </is>
      </c>
      <c r="I344" s="5" t="n">
        <v>907.184</v>
      </c>
      <c r="J344" s="4" t="inlineStr">
        <is>
          <t>g</t>
        </is>
      </c>
      <c r="K344" s="6" t="n">
        <v>0.05165435016490591</v>
      </c>
      <c r="L344" s="6" t="n">
        <v>0.05165435016490591</v>
      </c>
      <c r="M344" s="7">
        <f>I344*K344</f>
        <v/>
      </c>
      <c r="N344" s="7">
        <f>I344*L344</f>
        <v/>
      </c>
      <c r="O344" s="7">
        <f>N344-M344</f>
        <v/>
      </c>
      <c r="P344" s="7" t="n">
        <v>51.65435016490591</v>
      </c>
      <c r="Q344" s="4" t="inlineStr">
        <is>
          <t>kg</t>
        </is>
      </c>
      <c r="R344" s="4" t="inlineStr">
        <is>
          <t>1 box → 453.592 each</t>
        </is>
      </c>
    </row>
    <row r="345">
      <c r="A345" s="4" t="inlineStr">
        <is>
          <t>Edible Begonia - Open Flowers</t>
        </is>
      </c>
      <c r="B345" s="4" t="inlineStr">
        <is>
          <t>PROD</t>
        </is>
      </c>
      <c r="C345" s="4" t="inlineStr">
        <is>
          <t>CATERING</t>
        </is>
      </c>
      <c r="D345" s="4" t="inlineStr">
        <is>
          <t>Brew Creek Farm</t>
        </is>
      </c>
      <c r="E345" s="4" t="inlineStr">
        <is>
          <t>Physically counted 2026-08-01</t>
        </is>
      </c>
      <c r="F345" s="4" t="inlineStr">
        <is>
          <t>2026-08-01</t>
        </is>
      </c>
      <c r="G345" s="5" t="n">
        <v>0</v>
      </c>
      <c r="H345" s="4" t="inlineStr">
        <is>
          <t>each</t>
        </is>
      </c>
      <c r="I345" s="5" t="n">
        <v>0</v>
      </c>
      <c r="J345" s="4" t="inlineStr">
        <is>
          <t>each</t>
        </is>
      </c>
      <c r="K345" s="6" t="n">
        <v>0.8</v>
      </c>
      <c r="L345" s="6" t="n">
        <v>0.8</v>
      </c>
      <c r="M345" s="7">
        <f>I345*K345</f>
        <v/>
      </c>
      <c r="N345" s="7">
        <f>I345*L345</f>
        <v/>
      </c>
      <c r="O345" s="7">
        <f>N345-M345</f>
        <v/>
      </c>
      <c r="P345" s="7" t="n">
        <v>0.8</v>
      </c>
      <c r="Q345" s="4" t="inlineStr">
        <is>
          <t>each</t>
        </is>
      </c>
      <c r="R345" s="4" t="inlineStr">
        <is>
          <t>20 pack</t>
        </is>
      </c>
    </row>
    <row r="346">
      <c r="A346" s="4" t="inlineStr">
        <is>
          <t>Edible Flower Mix</t>
        </is>
      </c>
      <c r="B346" s="4" t="inlineStr">
        <is>
          <t>PROD</t>
        </is>
      </c>
      <c r="C346" s="4" t="inlineStr"/>
      <c r="D346" s="4" t="inlineStr">
        <is>
          <t>Brew Creek Farm</t>
        </is>
      </c>
      <c r="E346" s="4" t="inlineStr">
        <is>
          <t>Physically counted 2026-08-01</t>
        </is>
      </c>
      <c r="F346" s="4" t="inlineStr">
        <is>
          <t>2026-08-01</t>
        </is>
      </c>
      <c r="G346" s="5" t="n">
        <v>0</v>
      </c>
      <c r="H346" s="4" t="inlineStr">
        <is>
          <t>pack</t>
        </is>
      </c>
      <c r="I346" s="5" t="n">
        <v>0</v>
      </c>
      <c r="J346" s="4" t="inlineStr">
        <is>
          <t>each</t>
        </is>
      </c>
      <c r="K346" s="6" t="n">
        <v>0.52</v>
      </c>
      <c r="L346" s="6" t="n">
        <v>0.52</v>
      </c>
      <c r="M346" s="7">
        <f>I346*K346</f>
        <v/>
      </c>
      <c r="N346" s="7">
        <f>I346*L346</f>
        <v/>
      </c>
      <c r="O346" s="7">
        <f>N346-M346</f>
        <v/>
      </c>
      <c r="P346" s="7" t="n">
        <v>0.52</v>
      </c>
      <c r="Q346" s="4" t="inlineStr">
        <is>
          <t>each</t>
        </is>
      </c>
      <c r="R346" s="4" t="inlineStr">
        <is>
          <t>1 pack → 50 each</t>
        </is>
      </c>
    </row>
    <row r="347">
      <c r="A347" s="4" t="inlineStr">
        <is>
          <t>Eggplant</t>
        </is>
      </c>
      <c r="B347" s="4" t="inlineStr">
        <is>
          <t>PROD</t>
        </is>
      </c>
      <c r="C347" s="4" t="inlineStr">
        <is>
          <t>FRIDGE</t>
        </is>
      </c>
      <c r="D347" s="4" t="inlineStr">
        <is>
          <t>Sysco</t>
        </is>
      </c>
      <c r="E347" s="4" t="inlineStr">
        <is>
          <t>Physically counted 2026-08-01</t>
        </is>
      </c>
      <c r="F347" s="4" t="inlineStr">
        <is>
          <t>2026-08-01</t>
        </is>
      </c>
      <c r="G347" s="5" t="n">
        <v>0</v>
      </c>
      <c r="H347" s="4" t="inlineStr">
        <is>
          <t>each</t>
        </is>
      </c>
      <c r="I347" s="5" t="n">
        <v>0</v>
      </c>
      <c r="J347" s="4" t="inlineStr">
        <is>
          <t>each</t>
        </is>
      </c>
      <c r="K347" s="6" t="n">
        <v>2.929166666666667</v>
      </c>
      <c r="L347" s="6" t="n">
        <v>2.929166666666667</v>
      </c>
      <c r="M347" s="7">
        <f>I347*K347</f>
        <v/>
      </c>
      <c r="N347" s="7">
        <f>I347*L347</f>
        <v/>
      </c>
      <c r="O347" s="7">
        <f>N347-M347</f>
        <v/>
      </c>
      <c r="P347" s="7" t="n">
        <v>2.929166666666667</v>
      </c>
      <c r="Q347" s="4" t="inlineStr">
        <is>
          <t>each</t>
        </is>
      </c>
      <c r="R347" s="4" t="inlineStr">
        <is>
          <t>24 case</t>
        </is>
      </c>
    </row>
    <row r="348">
      <c r="A348" s="4" t="inlineStr">
        <is>
          <t>Endive</t>
        </is>
      </c>
      <c r="B348" s="4" t="inlineStr">
        <is>
          <t>PROD</t>
        </is>
      </c>
      <c r="C348" s="4" t="inlineStr"/>
      <c r="D348" s="4" t="inlineStr">
        <is>
          <t>Sysco</t>
        </is>
      </c>
      <c r="E348" s="4" t="inlineStr">
        <is>
          <t>Physically counted 2026-08-01</t>
        </is>
      </c>
      <c r="F348" s="4" t="inlineStr">
        <is>
          <t>2026-08-01</t>
        </is>
      </c>
      <c r="G348" s="5" t="n">
        <v>0</v>
      </c>
      <c r="H348" s="4" t="inlineStr">
        <is>
          <t>kg</t>
        </is>
      </c>
      <c r="I348" s="5" t="n">
        <v>0</v>
      </c>
      <c r="J348" s="4" t="inlineStr">
        <is>
          <t>g</t>
        </is>
      </c>
      <c r="K348" s="6" t="n">
        <v>0.0104234642586289</v>
      </c>
      <c r="L348" s="6" t="n">
        <v>0.0104234642586289</v>
      </c>
      <c r="M348" s="7">
        <f>I348*K348</f>
        <v/>
      </c>
      <c r="N348" s="7">
        <f>I348*L348</f>
        <v/>
      </c>
      <c r="O348" s="7">
        <f>N348-M348</f>
        <v/>
      </c>
      <c r="P348" s="7" t="n">
        <v>10.4234642586289</v>
      </c>
      <c r="Q348" s="4" t="inlineStr">
        <is>
          <t>kg</t>
        </is>
      </c>
      <c r="R348" s="4" t="inlineStr">
        <is>
          <t>1 each → 4535.92 each</t>
        </is>
      </c>
    </row>
    <row r="349">
      <c r="A349" s="4" t="inlineStr">
        <is>
          <t>Farm Squash Zuchinni</t>
        </is>
      </c>
      <c r="B349" s="4" t="inlineStr">
        <is>
          <t>PROD</t>
        </is>
      </c>
      <c r="C349" s="4" t="inlineStr">
        <is>
          <t>FRIDGE</t>
        </is>
      </c>
      <c r="D349" s="4" t="inlineStr"/>
      <c r="E349" s="4" t="inlineStr">
        <is>
          <t>Physically counted 2026-08-01</t>
        </is>
      </c>
      <c r="F349" s="4" t="inlineStr">
        <is>
          <t>2026-08-01</t>
        </is>
      </c>
      <c r="G349" s="5" t="n">
        <v>0</v>
      </c>
      <c r="H349" s="4" t="inlineStr">
        <is>
          <t>each</t>
        </is>
      </c>
      <c r="I349" s="5" t="n">
        <v>0</v>
      </c>
      <c r="J349" s="4" t="inlineStr">
        <is>
          <t>each</t>
        </is>
      </c>
      <c r="K349" s="6" t="n">
        <v>0</v>
      </c>
      <c r="L349" s="6" t="n">
        <v>0</v>
      </c>
      <c r="M349" s="7">
        <f>I349*K349</f>
        <v/>
      </c>
      <c r="N349" s="7">
        <f>I349*L349</f>
        <v/>
      </c>
      <c r="O349" s="7">
        <f>N349-M349</f>
        <v/>
      </c>
      <c r="P349" s="7" t="n">
        <v>0</v>
      </c>
      <c r="Q349" s="4" t="inlineStr">
        <is>
          <t>each</t>
        </is>
      </c>
      <c r="R349" s="4" t="inlineStr">
        <is>
          <t>1 each → 1 each</t>
        </is>
      </c>
    </row>
    <row r="350">
      <c r="A350" s="4" t="inlineStr">
        <is>
          <t>Fennel brew creek</t>
        </is>
      </c>
      <c r="B350" s="4" t="inlineStr">
        <is>
          <t>PROD</t>
        </is>
      </c>
      <c r="C350" s="4" t="inlineStr">
        <is>
          <t>FRIDGE</t>
        </is>
      </c>
      <c r="D350" s="4" t="inlineStr"/>
      <c r="E350" s="4" t="inlineStr">
        <is>
          <t>Physically counted 2026-08-01</t>
        </is>
      </c>
      <c r="F350" s="4" t="inlineStr">
        <is>
          <t>2026-08-01</t>
        </is>
      </c>
      <c r="G350" s="5" t="n">
        <v>0</v>
      </c>
      <c r="H350" s="4" t="inlineStr">
        <is>
          <t>each</t>
        </is>
      </c>
      <c r="I350" s="5" t="n">
        <v>0</v>
      </c>
      <c r="J350" s="4" t="inlineStr">
        <is>
          <t>each</t>
        </is>
      </c>
      <c r="K350" s="6" t="n">
        <v>0</v>
      </c>
      <c r="L350" s="6" t="n">
        <v>0</v>
      </c>
      <c r="M350" s="7">
        <f>I350*K350</f>
        <v/>
      </c>
      <c r="N350" s="7">
        <f>I350*L350</f>
        <v/>
      </c>
      <c r="O350" s="7">
        <f>N350-M350</f>
        <v/>
      </c>
      <c r="P350" s="7" t="n">
        <v>0</v>
      </c>
      <c r="Q350" s="4" t="inlineStr">
        <is>
          <t>each</t>
        </is>
      </c>
      <c r="R350" s="4" t="inlineStr">
        <is>
          <t>1 each → 1 each</t>
        </is>
      </c>
    </row>
    <row r="351">
      <c r="A351" s="4" t="inlineStr">
        <is>
          <t>Fingerling Potatoes</t>
        </is>
      </c>
      <c r="B351" s="4" t="inlineStr">
        <is>
          <t>PROD</t>
        </is>
      </c>
      <c r="C351" s="4" t="inlineStr">
        <is>
          <t>CATERING</t>
        </is>
      </c>
      <c r="D351" s="4" t="inlineStr">
        <is>
          <t>North Arm Farms</t>
        </is>
      </c>
      <c r="E351" s="4" t="inlineStr">
        <is>
          <t>Physically counted 2026-08-01</t>
        </is>
      </c>
      <c r="F351" s="4" t="inlineStr">
        <is>
          <t>2026-08-01</t>
        </is>
      </c>
      <c r="G351" s="5" t="n">
        <v>0</v>
      </c>
      <c r="H351" s="4" t="inlineStr">
        <is>
          <t>lb</t>
        </is>
      </c>
      <c r="I351" s="5" t="n">
        <v>0</v>
      </c>
      <c r="J351" s="4" t="inlineStr">
        <is>
          <t>g</t>
        </is>
      </c>
      <c r="K351" s="6" t="n">
        <v>0.07262032840085363</v>
      </c>
      <c r="L351" s="6" t="n">
        <v>0.00645</v>
      </c>
      <c r="M351" s="7">
        <f>I351*K351</f>
        <v/>
      </c>
      <c r="N351" s="7">
        <f>I351*L351</f>
        <v/>
      </c>
      <c r="O351" s="7">
        <f>N351-M351</f>
        <v/>
      </c>
      <c r="P351" s="7" t="n">
        <v>6.45</v>
      </c>
      <c r="Q351" s="4" t="inlineStr">
        <is>
          <t>kg</t>
        </is>
      </c>
      <c r="R351" s="4" t="inlineStr">
        <is>
          <t>453.592 bag</t>
        </is>
      </c>
    </row>
    <row r="352">
      <c r="A352" s="4" t="inlineStr">
        <is>
          <t>Garlic</t>
        </is>
      </c>
      <c r="B352" s="4" t="inlineStr">
        <is>
          <t>PROD</t>
        </is>
      </c>
      <c r="C352" s="4" t="inlineStr">
        <is>
          <t>FRIDGE</t>
        </is>
      </c>
      <c r="D352" s="4" t="inlineStr">
        <is>
          <t>Sysco</t>
        </is>
      </c>
      <c r="E352" s="4" t="inlineStr">
        <is>
          <t>Physically counted 2026-08-01</t>
        </is>
      </c>
      <c r="F352" s="4" t="inlineStr">
        <is>
          <t>2026-08-01</t>
        </is>
      </c>
      <c r="G352" s="5" t="n">
        <v>4</v>
      </c>
      <c r="H352" s="4" t="inlineStr">
        <is>
          <t>lb</t>
        </is>
      </c>
      <c r="I352" s="5" t="n">
        <v>1814.368</v>
      </c>
      <c r="J352" s="4" t="inlineStr">
        <is>
          <t>g</t>
        </is>
      </c>
      <c r="K352" s="6" t="n">
        <v>0.01151695797104005</v>
      </c>
      <c r="L352" s="6" t="n">
        <v>0.0119049718689924</v>
      </c>
      <c r="M352" s="7">
        <f>I352*K352</f>
        <v/>
      </c>
      <c r="N352" s="7">
        <f>I352*L352</f>
        <v/>
      </c>
      <c r="O352" s="7">
        <f>N352-M352</f>
        <v/>
      </c>
      <c r="P352" s="7" t="n">
        <v>11.9049718689924</v>
      </c>
      <c r="Q352" s="4" t="inlineStr">
        <is>
          <t>kg</t>
        </is>
      </c>
      <c r="R352" s="4" t="inlineStr">
        <is>
          <t>1 each → 2267.96 each</t>
        </is>
      </c>
    </row>
    <row r="353">
      <c r="A353" s="4" t="inlineStr">
        <is>
          <t>ginger</t>
        </is>
      </c>
      <c r="B353" s="4" t="inlineStr">
        <is>
          <t>PROD</t>
        </is>
      </c>
      <c r="C353" s="4" t="inlineStr">
        <is>
          <t>FRIDGE</t>
        </is>
      </c>
      <c r="D353" s="4" t="inlineStr"/>
      <c r="E353" s="4" t="inlineStr">
        <is>
          <t>Physically counted 2026-08-01</t>
        </is>
      </c>
      <c r="F353" s="4" t="inlineStr">
        <is>
          <t>2026-08-01</t>
        </is>
      </c>
      <c r="G353" s="5" t="n">
        <v>4.5</v>
      </c>
      <c r="H353" s="4" t="inlineStr">
        <is>
          <t>kg</t>
        </is>
      </c>
      <c r="I353" s="5" t="n">
        <v>4500</v>
      </c>
      <c r="J353" s="4" t="inlineStr">
        <is>
          <t>g</t>
        </is>
      </c>
      <c r="K353" s="6" t="n">
        <v>0.01585565882996173</v>
      </c>
      <c r="L353" s="6" t="n">
        <v>0.01585565882996173</v>
      </c>
      <c r="M353" s="7">
        <f>I353*K353</f>
        <v/>
      </c>
      <c r="N353" s="7">
        <f>I353*L353</f>
        <v/>
      </c>
      <c r="O353" s="7">
        <f>N353-M353</f>
        <v/>
      </c>
      <c r="P353" s="7" t="n">
        <v>15.85565882996173</v>
      </c>
      <c r="Q353" s="4" t="inlineStr">
        <is>
          <t>kg</t>
        </is>
      </c>
      <c r="R353" s="4" t="inlineStr">
        <is>
          <t>1 each → 2267.96 each</t>
        </is>
      </c>
    </row>
    <row r="354">
      <c r="A354" s="4" t="inlineStr">
        <is>
          <t>Golf Ball Onions</t>
        </is>
      </c>
      <c r="B354" s="4" t="inlineStr">
        <is>
          <t>PROD</t>
        </is>
      </c>
      <c r="C354" s="4" t="inlineStr">
        <is>
          <t>CATERING</t>
        </is>
      </c>
      <c r="D354" s="4" t="inlineStr">
        <is>
          <t>North Arm Farms</t>
        </is>
      </c>
      <c r="E354" s="4" t="inlineStr">
        <is>
          <t>Physically counted 2026-08-01</t>
        </is>
      </c>
      <c r="F354" s="4" t="inlineStr">
        <is>
          <t>2026-08-01</t>
        </is>
      </c>
      <c r="G354" s="5" t="n">
        <v>0</v>
      </c>
      <c r="H354" s="4" t="inlineStr">
        <is>
          <t>lb</t>
        </is>
      </c>
      <c r="I354" s="5" t="n">
        <v>0</v>
      </c>
      <c r="J354" s="4" t="inlineStr">
        <is>
          <t>g</t>
        </is>
      </c>
      <c r="K354" s="6" t="n">
        <v>0.006724104481560521</v>
      </c>
      <c r="L354" s="6" t="n">
        <v>0.006724104481560521</v>
      </c>
      <c r="M354" s="7">
        <f>I354*K354</f>
        <v/>
      </c>
      <c r="N354" s="7">
        <f>I354*L354</f>
        <v/>
      </c>
      <c r="O354" s="7">
        <f>N354-M354</f>
        <v/>
      </c>
      <c r="P354" s="7" t="n">
        <v>6.724104481560522</v>
      </c>
      <c r="Q354" s="4" t="inlineStr">
        <is>
          <t>kg</t>
        </is>
      </c>
      <c r="R354" s="4" t="inlineStr">
        <is>
          <t>1 bag → 453.592 each</t>
        </is>
      </c>
    </row>
    <row r="355">
      <c r="A355" s="4" t="inlineStr">
        <is>
          <t>GRAPE RED FRSH SEEDLS CLAM</t>
        </is>
      </c>
      <c r="B355" s="4" t="inlineStr">
        <is>
          <t>PROD</t>
        </is>
      </c>
      <c r="C355" s="4" t="inlineStr"/>
      <c r="D355" s="4" t="inlineStr">
        <is>
          <t>Sysco</t>
        </is>
      </c>
      <c r="E355" s="4" t="inlineStr">
        <is>
          <t>Physically counted 2026-08-01</t>
        </is>
      </c>
      <c r="F355" s="4" t="inlineStr">
        <is>
          <t>2026-08-01</t>
        </is>
      </c>
      <c r="G355" s="5" t="n">
        <v>0</v>
      </c>
      <c r="H355" s="4" t="inlineStr">
        <is>
          <t>case</t>
        </is>
      </c>
      <c r="I355" s="5" t="n">
        <v>0</v>
      </c>
      <c r="J355" s="4" t="inlineStr">
        <is>
          <t>g</t>
        </is>
      </c>
      <c r="K355" s="6" t="n">
        <v>0.01370541514547582</v>
      </c>
      <c r="L355" s="6" t="n">
        <v>0.01370541514547582</v>
      </c>
      <c r="M355" s="7">
        <f>I355*K355</f>
        <v/>
      </c>
      <c r="N355" s="7">
        <f>I355*L355</f>
        <v/>
      </c>
      <c r="O355" s="7">
        <f>N355-M355</f>
        <v/>
      </c>
      <c r="P355" s="7" t="n">
        <v>13.70541514547581</v>
      </c>
      <c r="Q355" s="4" t="inlineStr">
        <is>
          <t>kg</t>
        </is>
      </c>
      <c r="R355" s="4" t="inlineStr">
        <is>
          <t>1 case → 1360.776 each</t>
        </is>
      </c>
    </row>
    <row r="356">
      <c r="A356" s="4" t="inlineStr">
        <is>
          <t>grapefruit</t>
        </is>
      </c>
      <c r="B356" s="4" t="inlineStr">
        <is>
          <t>PROD</t>
        </is>
      </c>
      <c r="C356" s="4" t="inlineStr">
        <is>
          <t>FRIDGE</t>
        </is>
      </c>
      <c r="D356" s="4" t="inlineStr"/>
      <c r="E356" s="4" t="inlineStr">
        <is>
          <t>Physically counted 2026-08-01</t>
        </is>
      </c>
      <c r="F356" s="4" t="inlineStr">
        <is>
          <t>2026-08-01</t>
        </is>
      </c>
      <c r="G356" s="5" t="n">
        <v>0</v>
      </c>
      <c r="H356" s="4" t="inlineStr">
        <is>
          <t>each</t>
        </is>
      </c>
      <c r="I356" s="5" t="n">
        <v>0</v>
      </c>
      <c r="J356" s="4" t="inlineStr">
        <is>
          <t>each</t>
        </is>
      </c>
      <c r="K356" s="6" t="n">
        <v>3.598333333333333</v>
      </c>
      <c r="L356" s="6" t="n">
        <v>3.598333333333333</v>
      </c>
      <c r="M356" s="7">
        <f>I356*K356</f>
        <v/>
      </c>
      <c r="N356" s="7">
        <f>I356*L356</f>
        <v/>
      </c>
      <c r="O356" s="7">
        <f>N356-M356</f>
        <v/>
      </c>
      <c r="P356" s="7" t="n">
        <v>3.598333333333333</v>
      </c>
      <c r="Q356" s="4" t="inlineStr">
        <is>
          <t>each</t>
        </is>
      </c>
      <c r="R356" s="4" t="inlineStr">
        <is>
          <t>6 case</t>
        </is>
      </c>
    </row>
    <row r="357">
      <c r="A357" s="4" t="inlineStr">
        <is>
          <t>Grapes</t>
        </is>
      </c>
      <c r="B357" s="4" t="inlineStr">
        <is>
          <t>PROD</t>
        </is>
      </c>
      <c r="C357" s="4" t="inlineStr">
        <is>
          <t>FRIDGE</t>
        </is>
      </c>
      <c r="D357" s="4" t="inlineStr">
        <is>
          <t>Sysco</t>
        </is>
      </c>
      <c r="E357" s="4" t="inlineStr">
        <is>
          <t>Physically counted 2026-08-01</t>
        </is>
      </c>
      <c r="F357" s="4" t="inlineStr">
        <is>
          <t>2026-08-01</t>
        </is>
      </c>
      <c r="G357" s="5" t="n">
        <v>0</v>
      </c>
      <c r="H357" s="4" t="inlineStr">
        <is>
          <t>case</t>
        </is>
      </c>
      <c r="I357" s="5" t="n">
        <v>0</v>
      </c>
      <c r="J357" s="4" t="inlineStr">
        <is>
          <t>g</t>
        </is>
      </c>
      <c r="K357" s="6" t="n">
        <v>0.008891985161407901</v>
      </c>
      <c r="L357" s="6" t="n">
        <v>0.008891985161407901</v>
      </c>
      <c r="M357" s="7">
        <f>I357*K357</f>
        <v/>
      </c>
      <c r="N357" s="7">
        <f>I357*L357</f>
        <v/>
      </c>
      <c r="O357" s="7">
        <f>N357-M357</f>
        <v/>
      </c>
      <c r="P357" s="7" t="n">
        <v>8.8919851614079</v>
      </c>
      <c r="Q357" s="4" t="inlineStr">
        <is>
          <t>kg</t>
        </is>
      </c>
      <c r="R357" s="4" t="inlineStr">
        <is>
          <t>6 case → 1360.776 each</t>
        </is>
      </c>
    </row>
    <row r="358">
      <c r="A358" s="4" t="inlineStr">
        <is>
          <t>Green Onions O/S — bunch, Rootdown Farm in Pemberton, BC (organic)</t>
        </is>
      </c>
      <c r="B358" s="4" t="inlineStr">
        <is>
          <t>PROD</t>
        </is>
      </c>
      <c r="C358" s="4" t="inlineStr"/>
      <c r="D358" s="4" t="inlineStr">
        <is>
          <t>North Arm Farms</t>
        </is>
      </c>
      <c r="E358" s="4" t="inlineStr">
        <is>
          <t>Physically counted 2026-08-01</t>
        </is>
      </c>
      <c r="F358" s="4" t="inlineStr">
        <is>
          <t>2026-08-01</t>
        </is>
      </c>
      <c r="G358" s="5" t="n">
        <v>0</v>
      </c>
      <c r="H358" s="4" t="inlineStr">
        <is>
          <t>each</t>
        </is>
      </c>
      <c r="I358" s="5" t="n">
        <v>0</v>
      </c>
      <c r="J358" s="4" t="inlineStr">
        <is>
          <t>each</t>
        </is>
      </c>
      <c r="K358" s="6" t="n">
        <v>4.39</v>
      </c>
      <c r="L358" s="6" t="n">
        <v>4.39</v>
      </c>
      <c r="M358" s="7">
        <f>I358*K358</f>
        <v/>
      </c>
      <c r="N358" s="7">
        <f>I358*L358</f>
        <v/>
      </c>
      <c r="O358" s="7">
        <f>N358-M358</f>
        <v/>
      </c>
      <c r="P358" s="7" t="n">
        <v>4.39</v>
      </c>
      <c r="Q358" s="4" t="inlineStr">
        <is>
          <t>each</t>
        </is>
      </c>
      <c r="R358" s="4" t="inlineStr">
        <is>
          <t>1 bunch → 1 each</t>
        </is>
      </c>
    </row>
    <row r="359">
      <c r="A359" s="4" t="inlineStr">
        <is>
          <t>Heirloom Tomato</t>
        </is>
      </c>
      <c r="B359" s="4" t="inlineStr">
        <is>
          <t>PROD</t>
        </is>
      </c>
      <c r="C359" s="4" t="inlineStr">
        <is>
          <t>CATERING</t>
        </is>
      </c>
      <c r="D359" s="4" t="inlineStr">
        <is>
          <t>Sysco</t>
        </is>
      </c>
      <c r="E359" s="4" t="inlineStr">
        <is>
          <t>Physically counted 2026-08-01</t>
        </is>
      </c>
      <c r="F359" s="4" t="inlineStr">
        <is>
          <t>2026-08-01</t>
        </is>
      </c>
      <c r="G359" s="5" t="n">
        <v>0</v>
      </c>
      <c r="H359" s="4" t="inlineStr">
        <is>
          <t>lb</t>
        </is>
      </c>
      <c r="I359" s="5" t="n">
        <v>0</v>
      </c>
      <c r="J359" s="4" t="inlineStr">
        <is>
          <t>g</t>
        </is>
      </c>
      <c r="K359" s="6" t="n">
        <v>0.01494073969558546</v>
      </c>
      <c r="L359" s="6" t="n">
        <v>0.01494073969558546</v>
      </c>
      <c r="M359" s="7">
        <f>I359*K359</f>
        <v/>
      </c>
      <c r="N359" s="7">
        <f>I359*L359</f>
        <v/>
      </c>
      <c r="O359" s="7">
        <f>N359-M359</f>
        <v/>
      </c>
      <c r="P359" s="7" t="n">
        <v>14.94073969558546</v>
      </c>
      <c r="Q359" s="4" t="inlineStr">
        <is>
          <t>kg</t>
        </is>
      </c>
      <c r="R359" s="4" t="inlineStr">
        <is>
          <t>1 case → 4535.92 each</t>
        </is>
      </c>
    </row>
    <row r="360">
      <c r="A360" s="4" t="inlineStr">
        <is>
          <t>Horseradish</t>
        </is>
      </c>
      <c r="B360" s="4" t="inlineStr">
        <is>
          <t>PROD</t>
        </is>
      </c>
      <c r="C360" s="4" t="inlineStr">
        <is>
          <t>FRIDGE</t>
        </is>
      </c>
      <c r="D360" s="4" t="inlineStr">
        <is>
          <t>North Arm Farms</t>
        </is>
      </c>
      <c r="E360" s="4" t="inlineStr">
        <is>
          <t>Physically counted 2026-08-01</t>
        </is>
      </c>
      <c r="F360" s="4" t="inlineStr">
        <is>
          <t>2026-08-01</t>
        </is>
      </c>
      <c r="G360" s="5" t="n">
        <v>2.3</v>
      </c>
      <c r="H360" s="4" t="inlineStr">
        <is>
          <t>kg</t>
        </is>
      </c>
      <c r="I360" s="5" t="n">
        <v>2300</v>
      </c>
      <c r="J360" s="4" t="inlineStr">
        <is>
          <t>g</t>
        </is>
      </c>
      <c r="K360" s="6" t="n">
        <v>0.02202419795763594</v>
      </c>
      <c r="L360" s="6" t="n">
        <v>0.02202419795763594</v>
      </c>
      <c r="M360" s="7">
        <f>I360*K360</f>
        <v/>
      </c>
      <c r="N360" s="7">
        <f>I360*L360</f>
        <v/>
      </c>
      <c r="O360" s="7">
        <f>N360-M360</f>
        <v/>
      </c>
      <c r="P360" s="7" t="n">
        <v>22.02419795763594</v>
      </c>
      <c r="Q360" s="4" t="inlineStr">
        <is>
          <t>kg</t>
        </is>
      </c>
      <c r="R360" s="4" t="inlineStr">
        <is>
          <t>453.592 each</t>
        </is>
      </c>
    </row>
    <row r="361">
      <c r="A361" s="4" t="inlineStr">
        <is>
          <t>Jalepenos</t>
        </is>
      </c>
      <c r="B361" s="4" t="inlineStr">
        <is>
          <t>PROD</t>
        </is>
      </c>
      <c r="C361" s="4" t="inlineStr">
        <is>
          <t>FREEZER</t>
        </is>
      </c>
      <c r="D361" s="4" t="inlineStr"/>
      <c r="E361" s="4" t="inlineStr">
        <is>
          <t>Physically counted 2026-08-01</t>
        </is>
      </c>
      <c r="F361" s="4" t="inlineStr">
        <is>
          <t>2026-08-01</t>
        </is>
      </c>
      <c r="G361" s="5" t="n">
        <v>0</v>
      </c>
      <c r="H361" s="4" t="inlineStr">
        <is>
          <t>kg</t>
        </is>
      </c>
      <c r="I361" s="5" t="n">
        <v>0</v>
      </c>
      <c r="J361" s="4" t="inlineStr">
        <is>
          <t>g</t>
        </is>
      </c>
      <c r="K361" s="6" t="n">
        <v>0.01002643171806167</v>
      </c>
      <c r="L361" s="6" t="n">
        <v>0.01002643171806167</v>
      </c>
      <c r="M361" s="7">
        <f>I361*K361</f>
        <v/>
      </c>
      <c r="N361" s="7">
        <f>I361*L361</f>
        <v/>
      </c>
      <c r="O361" s="7">
        <f>N361-M361</f>
        <v/>
      </c>
      <c r="P361" s="7" t="n">
        <v>10.02643171806167</v>
      </c>
      <c r="Q361" s="4" t="inlineStr">
        <is>
          <t>kg</t>
        </is>
      </c>
      <c r="R361" s="4" t="inlineStr">
        <is>
          <t>1 each → 4540 each</t>
        </is>
      </c>
    </row>
    <row r="362">
      <c r="A362" s="4" t="inlineStr">
        <is>
          <t>Kale</t>
        </is>
      </c>
      <c r="B362" s="4" t="inlineStr">
        <is>
          <t>PROD</t>
        </is>
      </c>
      <c r="C362" s="4" t="inlineStr">
        <is>
          <t>FRIDGE</t>
        </is>
      </c>
      <c r="D362" s="4" t="inlineStr">
        <is>
          <t>Sysco</t>
        </is>
      </c>
      <c r="E362" s="4" t="inlineStr">
        <is>
          <t>Physically counted 2026-08-01</t>
        </is>
      </c>
      <c r="F362" s="4" t="inlineStr">
        <is>
          <t>2026-08-01</t>
        </is>
      </c>
      <c r="G362" s="5" t="n">
        <v>8</v>
      </c>
      <c r="H362" s="4" t="inlineStr">
        <is>
          <t>each</t>
        </is>
      </c>
      <c r="I362" s="5" t="n">
        <v>8</v>
      </c>
      <c r="J362" s="4" t="inlineStr">
        <is>
          <t>each</t>
        </is>
      </c>
      <c r="K362" s="6" t="n">
        <v>2.375416666666667</v>
      </c>
      <c r="L362" s="6" t="n">
        <v>2.375416666666667</v>
      </c>
      <c r="M362" s="7">
        <f>I362*K362</f>
        <v/>
      </c>
      <c r="N362" s="7">
        <f>I362*L362</f>
        <v/>
      </c>
      <c r="O362" s="7">
        <f>N362-M362</f>
        <v/>
      </c>
      <c r="P362" s="7" t="n">
        <v>2.375416666666667</v>
      </c>
      <c r="Q362" s="4" t="inlineStr">
        <is>
          <t>each</t>
        </is>
      </c>
      <c r="R362" s="4" t="inlineStr">
        <is>
          <t>24 case</t>
        </is>
      </c>
    </row>
    <row r="363">
      <c r="A363" s="4" t="inlineStr">
        <is>
          <t>KALE BABY</t>
        </is>
      </c>
      <c r="B363" s="4" t="inlineStr">
        <is>
          <t>PROD</t>
        </is>
      </c>
      <c r="C363" s="4" t="inlineStr"/>
      <c r="D363" s="4" t="inlineStr">
        <is>
          <t>Sysco</t>
        </is>
      </c>
      <c r="E363" s="4" t="inlineStr">
        <is>
          <t>Physically counted 2026-08-01</t>
        </is>
      </c>
      <c r="F363" s="4" t="inlineStr">
        <is>
          <t>2026-08-01</t>
        </is>
      </c>
      <c r="G363" s="5" t="n">
        <v>6.000000000000001</v>
      </c>
      <c r="H363" s="4" t="inlineStr">
        <is>
          <t>lb</t>
        </is>
      </c>
      <c r="I363" s="5" t="n">
        <v>2721.552</v>
      </c>
      <c r="J363" s="4" t="inlineStr">
        <is>
          <t>g</t>
        </is>
      </c>
      <c r="K363" s="6" t="n">
        <v>0.02467709600992375</v>
      </c>
      <c r="L363" s="6" t="n">
        <v>0.02467709600992375</v>
      </c>
      <c r="M363" s="7">
        <f>I363*K363</f>
        <v/>
      </c>
      <c r="N363" s="7">
        <f>I363*L363</f>
        <v/>
      </c>
      <c r="O363" s="7">
        <f>N363-M363</f>
        <v/>
      </c>
      <c r="P363" s="7" t="n">
        <v>24.67709600992375</v>
      </c>
      <c r="Q363" s="4" t="inlineStr">
        <is>
          <t>kg</t>
        </is>
      </c>
      <c r="R363" s="4" t="inlineStr">
        <is>
          <t>2 case → 680.3879999999999 pack</t>
        </is>
      </c>
    </row>
    <row r="364">
      <c r="A364" s="4" t="inlineStr">
        <is>
          <t>kennebec potato</t>
        </is>
      </c>
      <c r="B364" s="4" t="inlineStr">
        <is>
          <t>PROD</t>
        </is>
      </c>
      <c r="C364" s="4" t="inlineStr">
        <is>
          <t>FRIDGE</t>
        </is>
      </c>
      <c r="D364" s="4" t="inlineStr">
        <is>
          <t>Sysco</t>
        </is>
      </c>
      <c r="E364" s="4" t="inlineStr">
        <is>
          <t>Physically counted 2026-08-01</t>
        </is>
      </c>
      <c r="F364" s="4" t="inlineStr">
        <is>
          <t>2026-08-01</t>
        </is>
      </c>
      <c r="G364" s="5" t="n">
        <v>3</v>
      </c>
      <c r="H364" s="4" t="inlineStr">
        <is>
          <t>case</t>
        </is>
      </c>
      <c r="I364" s="5" t="n">
        <v>68038.79999999999</v>
      </c>
      <c r="J364" s="4" t="inlineStr">
        <is>
          <t>g</t>
        </is>
      </c>
      <c r="K364" s="6" t="n">
        <v>0.001513254202014145</v>
      </c>
      <c r="L364" s="6" t="n">
        <v>0.001545441718548828</v>
      </c>
      <c r="M364" s="7">
        <f>I364*K364</f>
        <v/>
      </c>
      <c r="N364" s="7">
        <f>I364*L364</f>
        <v/>
      </c>
      <c r="O364" s="7">
        <f>N364-M364</f>
        <v/>
      </c>
      <c r="P364" s="7" t="n">
        <v>1.545441718548828</v>
      </c>
      <c r="Q364" s="4" t="inlineStr">
        <is>
          <t>kg</t>
        </is>
      </c>
      <c r="R364" s="4" t="inlineStr">
        <is>
          <t>1 case → 22679.6 each</t>
        </is>
      </c>
    </row>
    <row r="365">
      <c r="A365" s="4" t="inlineStr">
        <is>
          <t>Leeks Fresh</t>
        </is>
      </c>
      <c r="B365" s="4" t="inlineStr">
        <is>
          <t>PROD</t>
        </is>
      </c>
      <c r="C365" s="4" t="inlineStr"/>
      <c r="D365" s="4" t="inlineStr">
        <is>
          <t>Sysco</t>
        </is>
      </c>
      <c r="E365" s="4" t="inlineStr">
        <is>
          <t>Physically counted 2026-08-01</t>
        </is>
      </c>
      <c r="F365" s="4" t="inlineStr">
        <is>
          <t>2026-08-01</t>
        </is>
      </c>
      <c r="G365" s="5" t="n">
        <v>0</v>
      </c>
      <c r="H365" s="4" t="inlineStr">
        <is>
          <t>each</t>
        </is>
      </c>
      <c r="I365" s="5" t="n">
        <v>0</v>
      </c>
      <c r="J365" s="4" t="inlineStr">
        <is>
          <t>each</t>
        </is>
      </c>
      <c r="K365" s="6" t="n">
        <v>4.575833333333333</v>
      </c>
      <c r="L365" s="6" t="n">
        <v>4.575833333333333</v>
      </c>
      <c r="M365" s="7">
        <f>I365*K365</f>
        <v/>
      </c>
      <c r="N365" s="7">
        <f>I365*L365</f>
        <v/>
      </c>
      <c r="O365" s="7">
        <f>N365-M365</f>
        <v/>
      </c>
      <c r="P365" s="7" t="n">
        <v>4.575833333333333</v>
      </c>
      <c r="Q365" s="4" t="inlineStr">
        <is>
          <t>each</t>
        </is>
      </c>
      <c r="R365" s="4" t="inlineStr">
        <is>
          <t>12 case</t>
        </is>
      </c>
    </row>
    <row r="366">
      <c r="A366" s="4" t="inlineStr">
        <is>
          <t>Lemons</t>
        </is>
      </c>
      <c r="B366" s="4" t="inlineStr">
        <is>
          <t>PROD</t>
        </is>
      </c>
      <c r="C366" s="4" t="inlineStr">
        <is>
          <t>FRIDGE</t>
        </is>
      </c>
      <c r="D366" s="4" t="inlineStr">
        <is>
          <t>Sysco</t>
        </is>
      </c>
      <c r="E366" s="4" t="inlineStr">
        <is>
          <t>Physically counted 2026-08-01</t>
        </is>
      </c>
      <c r="F366" s="4" t="inlineStr">
        <is>
          <t>2026-08-01</t>
        </is>
      </c>
      <c r="G366" s="5" t="n">
        <v>0.8</v>
      </c>
      <c r="H366" s="4" t="inlineStr">
        <is>
          <t>case</t>
        </is>
      </c>
      <c r="I366" s="5" t="n">
        <v>112</v>
      </c>
      <c r="J366" s="4" t="inlineStr">
        <is>
          <t>each</t>
        </is>
      </c>
      <c r="K366" s="6" t="n">
        <v>0.4774285714285715</v>
      </c>
      <c r="L366" s="6" t="n">
        <v>0.4774285714285715</v>
      </c>
      <c r="M366" s="7">
        <f>I366*K366</f>
        <v/>
      </c>
      <c r="N366" s="7">
        <f>I366*L366</f>
        <v/>
      </c>
      <c r="O366" s="7">
        <f>N366-M366</f>
        <v/>
      </c>
      <c r="P366" s="7" t="n">
        <v>0.4774285714285715</v>
      </c>
      <c r="Q366" s="4" t="inlineStr">
        <is>
          <t>each</t>
        </is>
      </c>
      <c r="R366" s="4" t="inlineStr">
        <is>
          <t>140 case</t>
        </is>
      </c>
    </row>
    <row r="367">
      <c r="A367" s="4" t="inlineStr">
        <is>
          <t>Lettuce Burger</t>
        </is>
      </c>
      <c r="B367" s="4" t="inlineStr">
        <is>
          <t>PROD</t>
        </is>
      </c>
      <c r="C367" s="4" t="inlineStr"/>
      <c r="D367" s="4" t="inlineStr"/>
      <c r="E367" s="4" t="inlineStr">
        <is>
          <t>Physically counted 2026-08-01</t>
        </is>
      </c>
      <c r="F367" s="4" t="inlineStr">
        <is>
          <t>2026-08-01</t>
        </is>
      </c>
      <c r="G367" s="5" t="n">
        <v>0</v>
      </c>
      <c r="H367" s="4" t="inlineStr">
        <is>
          <t>case</t>
        </is>
      </c>
      <c r="I367" s="5" t="n">
        <v>0</v>
      </c>
      <c r="J367" s="4" t="inlineStr">
        <is>
          <t>each</t>
        </is>
      </c>
      <c r="K367" s="6" t="n">
        <v>1.933333333333333</v>
      </c>
      <c r="L367" s="6" t="n">
        <v>1.933333333333333</v>
      </c>
      <c r="M367" s="7">
        <f>I367*K367</f>
        <v/>
      </c>
      <c r="N367" s="7">
        <f>I367*L367</f>
        <v/>
      </c>
      <c r="O367" s="7">
        <f>N367-M367</f>
        <v/>
      </c>
      <c r="P367" s="7" t="n">
        <v>1.933333333333333</v>
      </c>
      <c r="Q367" s="4" t="inlineStr">
        <is>
          <t>each</t>
        </is>
      </c>
      <c r="R367" s="4" t="inlineStr">
        <is>
          <t>24 case → 1 each</t>
        </is>
      </c>
    </row>
    <row r="368">
      <c r="A368" s="4" t="inlineStr">
        <is>
          <t>LETTUCE ROMAINE HEART OF FRSH</t>
        </is>
      </c>
      <c r="B368" s="4" t="inlineStr">
        <is>
          <t>PROD</t>
        </is>
      </c>
      <c r="C368" s="4" t="inlineStr"/>
      <c r="D368" s="4" t="inlineStr">
        <is>
          <t>Sysco</t>
        </is>
      </c>
      <c r="E368" s="4" t="inlineStr">
        <is>
          <t>Physically counted 2026-08-01</t>
        </is>
      </c>
      <c r="F368" s="4" t="inlineStr">
        <is>
          <t>2026-08-01</t>
        </is>
      </c>
      <c r="G368" s="5" t="n">
        <v>0</v>
      </c>
      <c r="H368" s="4" t="inlineStr">
        <is>
          <t>each</t>
        </is>
      </c>
      <c r="I368" s="5" t="n">
        <v>0</v>
      </c>
      <c r="J368" s="4" t="inlineStr">
        <is>
          <t>each</t>
        </is>
      </c>
      <c r="K368" s="6" t="n">
        <v>3.240833333333333</v>
      </c>
      <c r="L368" s="6" t="n">
        <v>3.240833333333333</v>
      </c>
      <c r="M368" s="7">
        <f>I368*K368</f>
        <v/>
      </c>
      <c r="N368" s="7">
        <f>I368*L368</f>
        <v/>
      </c>
      <c r="O368" s="7">
        <f>N368-M368</f>
        <v/>
      </c>
      <c r="P368" s="7" t="n">
        <v>3.240833333333333</v>
      </c>
      <c r="Q368" s="4" t="inlineStr">
        <is>
          <t>each</t>
        </is>
      </c>
      <c r="R368" s="4" t="inlineStr">
        <is>
          <t>12 case → 1 each</t>
        </is>
      </c>
    </row>
    <row r="369">
      <c r="A369" s="4" t="inlineStr">
        <is>
          <t>LETTUCE ROMAINE HEART OF FRSH</t>
        </is>
      </c>
      <c r="B369" s="4" t="inlineStr">
        <is>
          <t>PROD</t>
        </is>
      </c>
      <c r="C369" s="4" t="inlineStr"/>
      <c r="D369" s="4" t="inlineStr">
        <is>
          <t>Sysco</t>
        </is>
      </c>
      <c r="E369" s="4" t="inlineStr">
        <is>
          <t>Physically counted 2026-08-01</t>
        </is>
      </c>
      <c r="F369" s="4" t="inlineStr">
        <is>
          <t>2026-08-01</t>
        </is>
      </c>
      <c r="G369" s="5" t="n">
        <v>1</v>
      </c>
      <c r="H369" s="4" t="inlineStr">
        <is>
          <t>case</t>
        </is>
      </c>
      <c r="I369" s="5" t="n">
        <v>48</v>
      </c>
      <c r="J369" s="4" t="inlineStr">
        <is>
          <t>each</t>
        </is>
      </c>
      <c r="K369" s="6" t="n">
        <v>0.4629166666666666</v>
      </c>
      <c r="L369" s="6" t="n">
        <v>1.666458333333333</v>
      </c>
      <c r="M369" s="7">
        <f>I369*K369</f>
        <v/>
      </c>
      <c r="N369" s="7">
        <f>I369*L369</f>
        <v/>
      </c>
      <c r="O369" s="7">
        <f>N369-M369</f>
        <v/>
      </c>
      <c r="P369" s="7" t="n">
        <v>1.666458333333333</v>
      </c>
      <c r="Q369" s="4" t="inlineStr">
        <is>
          <t>each</t>
        </is>
      </c>
      <c r="R369" s="4" t="inlineStr">
        <is>
          <t>4 case → 12 pack</t>
        </is>
      </c>
    </row>
    <row r="370">
      <c r="A370" s="4" t="inlineStr">
        <is>
          <t>Lettuce Spring Mix</t>
        </is>
      </c>
      <c r="B370" s="4" t="inlineStr">
        <is>
          <t>PROD</t>
        </is>
      </c>
      <c r="C370" s="4" t="inlineStr"/>
      <c r="D370" s="4" t="inlineStr">
        <is>
          <t>Sysco</t>
        </is>
      </c>
      <c r="E370" s="4" t="inlineStr">
        <is>
          <t>Physically counted 2026-08-01</t>
        </is>
      </c>
      <c r="F370" s="4" t="inlineStr">
        <is>
          <t>2026-08-01</t>
        </is>
      </c>
      <c r="G370" s="5" t="n">
        <v>0</v>
      </c>
      <c r="H370" s="4" t="inlineStr">
        <is>
          <t>each</t>
        </is>
      </c>
      <c r="I370" s="5" t="n">
        <v>0</v>
      </c>
      <c r="J370" s="4" t="inlineStr">
        <is>
          <t>g</t>
        </is>
      </c>
      <c r="K370" s="6" t="n">
        <v>0.0212231844183025</v>
      </c>
      <c r="L370" s="6" t="n">
        <v>0.0212231844183025</v>
      </c>
      <c r="M370" s="7">
        <f>I370*K370</f>
        <v/>
      </c>
      <c r="N370" s="7">
        <f>I370*L370</f>
        <v/>
      </c>
      <c r="O370" s="7">
        <f>N370-M370</f>
        <v/>
      </c>
      <c r="P370" s="7" t="n">
        <v>21.22318441830249</v>
      </c>
      <c r="Q370" s="4" t="inlineStr">
        <is>
          <t>kg</t>
        </is>
      </c>
      <c r="R370" s="4" t="inlineStr">
        <is>
          <t>1 each → 1360.776 each</t>
        </is>
      </c>
    </row>
    <row r="371">
      <c r="A371" s="4" t="inlineStr">
        <is>
          <t>Limes</t>
        </is>
      </c>
      <c r="B371" s="4" t="inlineStr">
        <is>
          <t>PROD</t>
        </is>
      </c>
      <c r="C371" s="4" t="inlineStr">
        <is>
          <t>FRIDGE</t>
        </is>
      </c>
      <c r="D371" s="4" t="inlineStr">
        <is>
          <t>Sysco</t>
        </is>
      </c>
      <c r="E371" s="4" t="inlineStr">
        <is>
          <t>Physically counted 2026-08-01</t>
        </is>
      </c>
      <c r="F371" s="4" t="inlineStr">
        <is>
          <t>2026-08-01</t>
        </is>
      </c>
      <c r="G371" s="5" t="n">
        <v>10</v>
      </c>
      <c r="H371" s="4" t="inlineStr">
        <is>
          <t>lb</t>
        </is>
      </c>
      <c r="I371" s="5" t="n">
        <v>4535.92</v>
      </c>
      <c r="J371" s="4" t="inlineStr">
        <is>
          <t>g</t>
        </is>
      </c>
      <c r="K371" s="6" t="n">
        <v>0.01047857986913349</v>
      </c>
      <c r="L371" s="6" t="n">
        <v>0.00915139596818286</v>
      </c>
      <c r="M371" s="7">
        <f>I371*K371</f>
        <v/>
      </c>
      <c r="N371" s="7">
        <f>I371*L371</f>
        <v/>
      </c>
      <c r="O371" s="7">
        <f>N371-M371</f>
        <v/>
      </c>
      <c r="P371" s="7" t="n">
        <v>9.151395968182859</v>
      </c>
      <c r="Q371" s="4" t="inlineStr">
        <is>
          <t>kg</t>
        </is>
      </c>
      <c r="R371" s="4" t="inlineStr">
        <is>
          <t>1 each → 4535.92 each</t>
        </is>
      </c>
    </row>
    <row r="372">
      <c r="A372" s="4" t="inlineStr">
        <is>
          <t>MELON CANTALOUPE FRESH</t>
        </is>
      </c>
      <c r="B372" s="4" t="inlineStr">
        <is>
          <t>PROD</t>
        </is>
      </c>
      <c r="C372" s="4" t="inlineStr">
        <is>
          <t>FRIDGE</t>
        </is>
      </c>
      <c r="D372" s="4" t="inlineStr">
        <is>
          <t>Sysco</t>
        </is>
      </c>
      <c r="E372" s="4" t="inlineStr">
        <is>
          <t>Physically counted 2026-08-01</t>
        </is>
      </c>
      <c r="F372" s="4" t="inlineStr">
        <is>
          <t>2026-08-01</t>
        </is>
      </c>
      <c r="G372" s="5" t="n">
        <v>0</v>
      </c>
      <c r="H372" s="4" t="inlineStr">
        <is>
          <t>each</t>
        </is>
      </c>
      <c r="I372" s="5" t="n">
        <v>0</v>
      </c>
      <c r="J372" s="4" t="inlineStr">
        <is>
          <t>each</t>
        </is>
      </c>
      <c r="K372" s="6" t="n">
        <v>9.576666666666666</v>
      </c>
      <c r="L372" s="6" t="n">
        <v>9.576666666666666</v>
      </c>
      <c r="M372" s="7">
        <f>I372*K372</f>
        <v/>
      </c>
      <c r="N372" s="7">
        <f>I372*L372</f>
        <v/>
      </c>
      <c r="O372" s="7">
        <f>N372-M372</f>
        <v/>
      </c>
      <c r="P372" s="7" t="n">
        <v>9.576666666666666</v>
      </c>
      <c r="Q372" s="4" t="inlineStr">
        <is>
          <t>each</t>
        </is>
      </c>
      <c r="R372" s="4" t="inlineStr">
        <is>
          <t>3 case</t>
        </is>
      </c>
    </row>
    <row r="373">
      <c r="A373" s="4" t="inlineStr">
        <is>
          <t>MELON WATERMELON SDLS FRESH</t>
        </is>
      </c>
      <c r="B373" s="4" t="inlineStr">
        <is>
          <t>PROD</t>
        </is>
      </c>
      <c r="C373" s="4" t="inlineStr"/>
      <c r="D373" s="4" t="inlineStr">
        <is>
          <t>Sysco</t>
        </is>
      </c>
      <c r="E373" s="4" t="inlineStr">
        <is>
          <t>Physically counted 2026-08-01</t>
        </is>
      </c>
      <c r="F373" s="4" t="inlineStr">
        <is>
          <t>2026-08-01</t>
        </is>
      </c>
      <c r="G373" s="5" t="n">
        <v>0</v>
      </c>
      <c r="H373" s="4" t="inlineStr">
        <is>
          <t>case</t>
        </is>
      </c>
      <c r="I373" s="5" t="n">
        <v>0</v>
      </c>
      <c r="J373" s="4" t="inlineStr">
        <is>
          <t>each</t>
        </is>
      </c>
      <c r="K373" s="6" t="n">
        <v>27.52</v>
      </c>
      <c r="L373" s="6" t="n">
        <v>27.52</v>
      </c>
      <c r="M373" s="7">
        <f>I373*K373</f>
        <v/>
      </c>
      <c r="N373" s="7">
        <f>I373*L373</f>
        <v/>
      </c>
      <c r="O373" s="7">
        <f>N373-M373</f>
        <v/>
      </c>
      <c r="P373" s="7" t="n">
        <v>27.52</v>
      </c>
      <c r="Q373" s="4" t="inlineStr">
        <is>
          <t>each</t>
        </is>
      </c>
      <c r="R373" s="4" t="inlineStr">
        <is>
          <t>1 case → 1 each</t>
        </is>
      </c>
    </row>
    <row r="374">
      <c r="A374" s="4" t="inlineStr">
        <is>
          <t>Microgreens - Arugula Precut</t>
        </is>
      </c>
      <c r="B374" s="4" t="inlineStr">
        <is>
          <t>PROD</t>
        </is>
      </c>
      <c r="C374" s="4" t="inlineStr"/>
      <c r="D374" s="4" t="inlineStr">
        <is>
          <t>Brew Creek Farm</t>
        </is>
      </c>
      <c r="E374" s="4" t="inlineStr">
        <is>
          <t>Physically counted 2026-08-01</t>
        </is>
      </c>
      <c r="F374" s="4" t="inlineStr">
        <is>
          <t>2026-08-01</t>
        </is>
      </c>
      <c r="G374" s="5" t="n">
        <v>1</v>
      </c>
      <c r="H374" s="4" t="inlineStr">
        <is>
          <t>pack</t>
        </is>
      </c>
      <c r="I374" s="5" t="n">
        <v>1</v>
      </c>
      <c r="J374" s="4" t="inlineStr">
        <is>
          <t>each</t>
        </is>
      </c>
      <c r="K374" s="6" t="n">
        <v>24</v>
      </c>
      <c r="L374" s="6" t="n">
        <v>24</v>
      </c>
      <c r="M374" s="7">
        <f>I374*K374</f>
        <v/>
      </c>
      <c r="N374" s="7">
        <f>I374*L374</f>
        <v/>
      </c>
      <c r="O374" s="7">
        <f>N374-M374</f>
        <v/>
      </c>
      <c r="P374" s="7" t="n">
        <v>24</v>
      </c>
      <c r="Q374" s="4" t="inlineStr">
        <is>
          <t>each</t>
        </is>
      </c>
      <c r="R374" s="4" t="inlineStr">
        <is>
          <t>1 pack → 1 each</t>
        </is>
      </c>
    </row>
    <row r="375">
      <c r="A375" s="4" t="inlineStr">
        <is>
          <t>Microgreens - Cilantro Living Tray</t>
        </is>
      </c>
      <c r="B375" s="4" t="inlineStr">
        <is>
          <t>PROD</t>
        </is>
      </c>
      <c r="C375" s="4" t="inlineStr"/>
      <c r="D375" s="4" t="inlineStr">
        <is>
          <t>Brew Creek Farm</t>
        </is>
      </c>
      <c r="E375" s="4" t="inlineStr">
        <is>
          <t>Physically counted 2026-08-01</t>
        </is>
      </c>
      <c r="F375" s="4" t="inlineStr">
        <is>
          <t>2026-08-01</t>
        </is>
      </c>
      <c r="G375" s="5" t="n">
        <v>0</v>
      </c>
      <c r="H375" s="4" t="inlineStr">
        <is>
          <t>each</t>
        </is>
      </c>
      <c r="I375" s="5" t="n">
        <v>0</v>
      </c>
      <c r="J375" s="4" t="inlineStr">
        <is>
          <t>each</t>
        </is>
      </c>
      <c r="K375" s="6" t="n">
        <v>24</v>
      </c>
      <c r="L375" s="6" t="n">
        <v>24</v>
      </c>
      <c r="M375" s="7">
        <f>I375*K375</f>
        <v/>
      </c>
      <c r="N375" s="7">
        <f>I375*L375</f>
        <v/>
      </c>
      <c r="O375" s="7">
        <f>N375-M375</f>
        <v/>
      </c>
      <c r="P375" s="7" t="n">
        <v>24</v>
      </c>
      <c r="Q375" s="4" t="inlineStr">
        <is>
          <t>each</t>
        </is>
      </c>
      <c r="R375" s="4" t="inlineStr">
        <is>
          <t>1 tray → 1 each</t>
        </is>
      </c>
    </row>
    <row r="376">
      <c r="A376" s="4" t="inlineStr">
        <is>
          <t>Microgreens - Sunflower Precut</t>
        </is>
      </c>
      <c r="B376" s="4" t="inlineStr">
        <is>
          <t>PROD</t>
        </is>
      </c>
      <c r="C376" s="4" t="inlineStr">
        <is>
          <t>CATERING</t>
        </is>
      </c>
      <c r="D376" s="4" t="inlineStr">
        <is>
          <t>Brew Creek Farm</t>
        </is>
      </c>
      <c r="E376" s="4" t="inlineStr">
        <is>
          <t>Physically counted 2026-08-01</t>
        </is>
      </c>
      <c r="F376" s="4" t="inlineStr">
        <is>
          <t>2026-08-01</t>
        </is>
      </c>
      <c r="G376" s="5" t="n">
        <v>0</v>
      </c>
      <c r="H376" s="4" t="inlineStr">
        <is>
          <t>each</t>
        </is>
      </c>
      <c r="I376" s="5" t="n">
        <v>0</v>
      </c>
      <c r="J376" s="4" t="inlineStr">
        <is>
          <t>each</t>
        </is>
      </c>
      <c r="K376" s="6" t="n">
        <v>13</v>
      </c>
      <c r="L376" s="6" t="n">
        <v>13</v>
      </c>
      <c r="M376" s="7">
        <f>I376*K376</f>
        <v/>
      </c>
      <c r="N376" s="7">
        <f>I376*L376</f>
        <v/>
      </c>
      <c r="O376" s="7">
        <f>N376-M376</f>
        <v/>
      </c>
      <c r="P376" s="7" t="n">
        <v>13</v>
      </c>
      <c r="Q376" s="4" t="inlineStr">
        <is>
          <t>each</t>
        </is>
      </c>
      <c r="R376" s="4" t="inlineStr">
        <is>
          <t>1 clamshell → 1 each</t>
        </is>
      </c>
    </row>
    <row r="377">
      <c r="A377" s="4" t="inlineStr">
        <is>
          <t>Mint</t>
        </is>
      </c>
      <c r="B377" s="4" t="inlineStr">
        <is>
          <t>PROD</t>
        </is>
      </c>
      <c r="C377" s="4" t="inlineStr">
        <is>
          <t>FRIDGE</t>
        </is>
      </c>
      <c r="D377" s="4" t="inlineStr">
        <is>
          <t>Sysco</t>
        </is>
      </c>
      <c r="E377" s="4" t="inlineStr">
        <is>
          <t>Physically counted 2026-08-01</t>
        </is>
      </c>
      <c r="F377" s="4" t="inlineStr">
        <is>
          <t>2026-08-01</t>
        </is>
      </c>
      <c r="G377" s="5" t="n">
        <v>2</v>
      </c>
      <c r="H377" s="4" t="inlineStr">
        <is>
          <t>case</t>
        </is>
      </c>
      <c r="I377" s="5" t="n">
        <v>907.184</v>
      </c>
      <c r="J377" s="4" t="inlineStr">
        <is>
          <t>g</t>
        </is>
      </c>
      <c r="K377" s="6" t="n">
        <v>0.04676008395209792</v>
      </c>
      <c r="L377" s="6" t="n">
        <v>0.04676008395209792</v>
      </c>
      <c r="M377" s="7">
        <f>I377*K377</f>
        <v/>
      </c>
      <c r="N377" s="7">
        <f>I377*L377</f>
        <v/>
      </c>
      <c r="O377" s="7">
        <f>N377-M377</f>
        <v/>
      </c>
      <c r="P377" s="7" t="n">
        <v>46.76008395209792</v>
      </c>
      <c r="Q377" s="4" t="inlineStr">
        <is>
          <t>kg</t>
        </is>
      </c>
      <c r="R377" s="4" t="inlineStr">
        <is>
          <t>453.592 case</t>
        </is>
      </c>
    </row>
    <row r="378">
      <c r="A378" s="4" t="inlineStr">
        <is>
          <t>Mushroom  oyster</t>
        </is>
      </c>
      <c r="B378" s="4" t="inlineStr">
        <is>
          <t>PROD</t>
        </is>
      </c>
      <c r="C378" s="4" t="inlineStr">
        <is>
          <t>FRIDGE</t>
        </is>
      </c>
      <c r="D378" s="4" t="inlineStr">
        <is>
          <t>Sysco</t>
        </is>
      </c>
      <c r="E378" s="4" t="inlineStr">
        <is>
          <t>Physically counted 2026-08-01</t>
        </is>
      </c>
      <c r="F378" s="4" t="inlineStr">
        <is>
          <t>2026-08-01</t>
        </is>
      </c>
      <c r="G378" s="5" t="n">
        <v>0</v>
      </c>
      <c r="H378" s="4" t="inlineStr">
        <is>
          <t>case</t>
        </is>
      </c>
      <c r="I378" s="5" t="n">
        <v>0</v>
      </c>
      <c r="J378" s="4" t="inlineStr">
        <is>
          <t>g</t>
        </is>
      </c>
      <c r="K378" s="6" t="n">
        <v>0.02409654491260869</v>
      </c>
      <c r="L378" s="6" t="n">
        <v>0.02439049483529986</v>
      </c>
      <c r="M378" s="7">
        <f>I378*K378</f>
        <v/>
      </c>
      <c r="N378" s="7">
        <f>I378*L378</f>
        <v/>
      </c>
      <c r="O378" s="7">
        <f>N378-M378</f>
        <v/>
      </c>
      <c r="P378" s="7" t="n">
        <v>24.39049483529985</v>
      </c>
      <c r="Q378" s="4" t="inlineStr">
        <is>
          <t>kg</t>
        </is>
      </c>
      <c r="R378" s="4" t="inlineStr">
        <is>
          <t>1 case → 1360.776 each</t>
        </is>
      </c>
    </row>
    <row r="379">
      <c r="A379" s="4" t="inlineStr">
        <is>
          <t>MUSHROOM BUTTON FRESH</t>
        </is>
      </c>
      <c r="B379" s="4" t="inlineStr">
        <is>
          <t>PROD</t>
        </is>
      </c>
      <c r="C379" s="4" t="inlineStr"/>
      <c r="D379" s="4" t="inlineStr">
        <is>
          <t>Sysco</t>
        </is>
      </c>
      <c r="E379" s="4" t="inlineStr">
        <is>
          <t>Physically counted 2026-08-01</t>
        </is>
      </c>
      <c r="F379" s="4" t="inlineStr">
        <is>
          <t>2026-08-01</t>
        </is>
      </c>
      <c r="G379" s="5" t="n">
        <v>9.199999999999999</v>
      </c>
      <c r="H379" s="4" t="inlineStr">
        <is>
          <t>kg</t>
        </is>
      </c>
      <c r="I379" s="5" t="n">
        <v>9200</v>
      </c>
      <c r="J379" s="4" t="inlineStr">
        <is>
          <t>g</t>
        </is>
      </c>
      <c r="K379" s="6" t="n">
        <v>0.00935642603925995</v>
      </c>
      <c r="L379" s="6" t="n">
        <v>0.009418155523025096</v>
      </c>
      <c r="M379" s="7">
        <f>I379*K379</f>
        <v/>
      </c>
      <c r="N379" s="7">
        <f>I379*L379</f>
        <v/>
      </c>
      <c r="O379" s="7">
        <f>N379-M379</f>
        <v/>
      </c>
      <c r="P379" s="7" t="n">
        <v>9.418155523025096</v>
      </c>
      <c r="Q379" s="4" t="inlineStr">
        <is>
          <t>kg</t>
        </is>
      </c>
      <c r="R379" s="4" t="inlineStr">
        <is>
          <t>1 case → 4535.92 each</t>
        </is>
      </c>
    </row>
    <row r="380">
      <c r="A380" s="4" t="inlineStr">
        <is>
          <t>MUSHROOM CRIMINI UNSIZD FRESH</t>
        </is>
      </c>
      <c r="B380" s="4" t="inlineStr">
        <is>
          <t>PROD</t>
        </is>
      </c>
      <c r="C380" s="4" t="inlineStr"/>
      <c r="D380" s="4" t="inlineStr">
        <is>
          <t>Sysco</t>
        </is>
      </c>
      <c r="E380" s="4" t="inlineStr">
        <is>
          <t>Physically counted 2026-08-01</t>
        </is>
      </c>
      <c r="F380" s="4" t="inlineStr">
        <is>
          <t>2026-08-01</t>
        </is>
      </c>
      <c r="G380" s="5" t="n">
        <v>0</v>
      </c>
      <c r="H380" s="4" t="inlineStr">
        <is>
          <t>each</t>
        </is>
      </c>
      <c r="I380" s="5" t="n">
        <v>0</v>
      </c>
      <c r="J380" s="4" t="inlineStr">
        <is>
          <t>g</t>
        </is>
      </c>
      <c r="K380" s="6" t="n">
        <v>0.03158491919316625</v>
      </c>
      <c r="L380" s="6" t="n">
        <v>0.02125992815863889</v>
      </c>
      <c r="M380" s="7">
        <f>I380*K380</f>
        <v/>
      </c>
      <c r="N380" s="7">
        <f>I380*L380</f>
        <v/>
      </c>
      <c r="O380" s="7">
        <f>N380-M380</f>
        <v/>
      </c>
      <c r="P380" s="7" t="n">
        <v>21.2599281586389</v>
      </c>
      <c r="Q380" s="4" t="inlineStr">
        <is>
          <t>kg</t>
        </is>
      </c>
      <c r="R380" s="4" t="inlineStr">
        <is>
          <t>1 case → 1360.776 each</t>
        </is>
      </c>
    </row>
    <row r="381">
      <c r="A381" s="4" t="inlineStr">
        <is>
          <t>MUSHROOM FRESH BRN SHIMEJI</t>
        </is>
      </c>
      <c r="B381" s="4" t="inlineStr">
        <is>
          <t>PROD</t>
        </is>
      </c>
      <c r="C381" s="4" t="inlineStr"/>
      <c r="D381" s="4" t="inlineStr">
        <is>
          <t>Sysco</t>
        </is>
      </c>
      <c r="E381" s="4" t="inlineStr">
        <is>
          <t>Physically counted 2026-08-01</t>
        </is>
      </c>
      <c r="F381" s="4" t="inlineStr">
        <is>
          <t>2026-08-01</t>
        </is>
      </c>
      <c r="G381" s="5" t="n">
        <v>0</v>
      </c>
      <c r="H381" s="4" t="inlineStr">
        <is>
          <t>each</t>
        </is>
      </c>
      <c r="I381" s="5" t="n">
        <v>0</v>
      </c>
      <c r="J381" s="4" t="inlineStr">
        <is>
          <t>g</t>
        </is>
      </c>
      <c r="K381" s="6" t="n">
        <v>0.0464146927929358</v>
      </c>
      <c r="L381" s="6" t="n">
        <v>0.0464146927929358</v>
      </c>
      <c r="M381" s="7">
        <f>I381*K381</f>
        <v/>
      </c>
      <c r="N381" s="7">
        <f>I381*L381</f>
        <v/>
      </c>
      <c r="O381" s="7">
        <f>N381-M381</f>
        <v/>
      </c>
      <c r="P381" s="7" t="n">
        <v>46.4146927929358</v>
      </c>
      <c r="Q381" s="4" t="inlineStr">
        <is>
          <t>kg</t>
        </is>
      </c>
      <c r="R381" s="4" t="inlineStr">
        <is>
          <t>6 case → 113.398 each</t>
        </is>
      </c>
    </row>
    <row r="382">
      <c r="A382" s="4" t="inlineStr">
        <is>
          <t>Mushroom Portobello</t>
        </is>
      </c>
      <c r="B382" s="4" t="inlineStr">
        <is>
          <t>PROD</t>
        </is>
      </c>
      <c r="C382" s="4" t="inlineStr">
        <is>
          <t>FRIDGE</t>
        </is>
      </c>
      <c r="D382" s="4" t="inlineStr"/>
      <c r="E382" s="4" t="inlineStr">
        <is>
          <t>Physically counted 2026-08-01</t>
        </is>
      </c>
      <c r="F382" s="4" t="inlineStr">
        <is>
          <t>2026-08-01</t>
        </is>
      </c>
      <c r="G382" s="5" t="n">
        <v>0</v>
      </c>
      <c r="H382" s="4" t="inlineStr">
        <is>
          <t>case</t>
        </is>
      </c>
      <c r="I382" s="5" t="n">
        <v>0</v>
      </c>
      <c r="J382" s="4" t="inlineStr">
        <is>
          <t>g</t>
        </is>
      </c>
      <c r="K382" s="6" t="n">
        <v>0.01568810737402776</v>
      </c>
      <c r="L382" s="6" t="n">
        <v>0.01586447732764246</v>
      </c>
      <c r="M382" s="7">
        <f>I382*K382</f>
        <v/>
      </c>
      <c r="N382" s="7">
        <f>I382*L382</f>
        <v/>
      </c>
      <c r="O382" s="7">
        <f>N382-M382</f>
        <v/>
      </c>
      <c r="P382" s="7" t="n">
        <v>15.86447732764246</v>
      </c>
      <c r="Q382" s="4" t="inlineStr">
        <is>
          <t>kg</t>
        </is>
      </c>
      <c r="R382" s="4" t="inlineStr">
        <is>
          <t>1 case → 2267.96 each</t>
        </is>
      </c>
    </row>
    <row r="383">
      <c r="A383" s="4" t="inlineStr">
        <is>
          <t>Mushroom shiitake</t>
        </is>
      </c>
      <c r="B383" s="4" t="inlineStr">
        <is>
          <t>PROD</t>
        </is>
      </c>
      <c r="C383" s="4" t="inlineStr">
        <is>
          <t>FRIDGE</t>
        </is>
      </c>
      <c r="D383" s="4" t="inlineStr">
        <is>
          <t>Sysco</t>
        </is>
      </c>
      <c r="E383" s="4" t="inlineStr">
        <is>
          <t>Physically counted 2026-08-01</t>
        </is>
      </c>
      <c r="F383" s="4" t="inlineStr">
        <is>
          <t>2026-08-01</t>
        </is>
      </c>
      <c r="G383" s="5" t="n">
        <v>0</v>
      </c>
      <c r="H383" s="4" t="inlineStr">
        <is>
          <t>case</t>
        </is>
      </c>
      <c r="I383" s="5" t="n">
        <v>0</v>
      </c>
      <c r="J383" s="4" t="inlineStr">
        <is>
          <t>g</t>
        </is>
      </c>
      <c r="K383" s="6" t="n">
        <v>0.03158491919316625</v>
      </c>
      <c r="L383" s="6" t="n">
        <v>0.03190091536005926</v>
      </c>
      <c r="M383" s="7">
        <f>I383*K383</f>
        <v/>
      </c>
      <c r="N383" s="7">
        <f>I383*L383</f>
        <v/>
      </c>
      <c r="O383" s="7">
        <f>N383-M383</f>
        <v/>
      </c>
      <c r="P383" s="7" t="n">
        <v>31.90091536005925</v>
      </c>
      <c r="Q383" s="4" t="inlineStr">
        <is>
          <t>kg</t>
        </is>
      </c>
      <c r="R383" s="4" t="inlineStr">
        <is>
          <t>1 case → 1360.776 each</t>
        </is>
      </c>
    </row>
    <row r="384">
      <c r="A384" s="4" t="inlineStr">
        <is>
          <t>NAF Strawberries FRESH</t>
        </is>
      </c>
      <c r="B384" s="4" t="inlineStr">
        <is>
          <t>PROD</t>
        </is>
      </c>
      <c r="C384" s="4" t="inlineStr"/>
      <c r="D384" s="4" t="inlineStr">
        <is>
          <t>North Arm Farms</t>
        </is>
      </c>
      <c r="E384" s="4" t="inlineStr">
        <is>
          <t>Physically counted 2026-08-01</t>
        </is>
      </c>
      <c r="F384" s="4" t="inlineStr">
        <is>
          <t>2026-08-01</t>
        </is>
      </c>
      <c r="G384" s="5" t="n">
        <v>0</v>
      </c>
      <c r="H384" s="4" t="inlineStr">
        <is>
          <t>g</t>
        </is>
      </c>
      <c r="I384" s="5" t="n">
        <v>0</v>
      </c>
      <c r="J384" s="4" t="inlineStr">
        <is>
          <t>g</t>
        </is>
      </c>
      <c r="K384" s="6" t="n">
        <v>0.01226046755674703</v>
      </c>
      <c r="L384" s="6" t="n">
        <v>0.01226046755674703</v>
      </c>
      <c r="M384" s="7">
        <f>I384*K384</f>
        <v/>
      </c>
      <c r="N384" s="7">
        <f>I384*L384</f>
        <v/>
      </c>
      <c r="O384" s="7">
        <f>N384-M384</f>
        <v/>
      </c>
      <c r="P384" s="7" t="n">
        <v>12.26046755674703</v>
      </c>
      <c r="Q384" s="4" t="inlineStr">
        <is>
          <t>kg</t>
        </is>
      </c>
      <c r="R384" s="4" t="inlineStr">
        <is>
          <t>1 case → 3628.736 each</t>
        </is>
      </c>
    </row>
    <row r="385">
      <c r="A385" s="4" t="inlineStr">
        <is>
          <t>ONION FRESH CIPPOLINI</t>
        </is>
      </c>
      <c r="B385" s="4" t="inlineStr">
        <is>
          <t>PROD</t>
        </is>
      </c>
      <c r="C385" s="4" t="inlineStr"/>
      <c r="D385" s="4" t="inlineStr">
        <is>
          <t>Sysco</t>
        </is>
      </c>
      <c r="E385" s="4" t="inlineStr">
        <is>
          <t>Physically counted 2026-08-01</t>
        </is>
      </c>
      <c r="F385" s="4" t="inlineStr">
        <is>
          <t>2026-08-01</t>
        </is>
      </c>
      <c r="G385" s="5" t="n">
        <v>0</v>
      </c>
      <c r="H385" s="4" t="inlineStr">
        <is>
          <t>case</t>
        </is>
      </c>
      <c r="I385" s="5" t="n">
        <v>0</v>
      </c>
      <c r="J385" s="4" t="inlineStr">
        <is>
          <t>g</t>
        </is>
      </c>
      <c r="K385" s="6" t="n">
        <v>0.01675514559339671</v>
      </c>
      <c r="L385" s="6" t="n">
        <v>0.01675514559339671</v>
      </c>
      <c r="M385" s="7">
        <f>I385*K385</f>
        <v/>
      </c>
      <c r="N385" s="7">
        <f>I385*L385</f>
        <v/>
      </c>
      <c r="O385" s="7">
        <f>N385-M385</f>
        <v/>
      </c>
      <c r="P385" s="7" t="n">
        <v>16.75514559339671</v>
      </c>
      <c r="Q385" s="4" t="inlineStr">
        <is>
          <t>kg</t>
        </is>
      </c>
      <c r="R385" s="4" t="inlineStr">
        <is>
          <t>1 case → 4535.92 each</t>
        </is>
      </c>
    </row>
    <row r="386">
      <c r="A386" s="4" t="inlineStr">
        <is>
          <t>Onion green</t>
        </is>
      </c>
      <c r="B386" s="4" t="inlineStr">
        <is>
          <t>PROD</t>
        </is>
      </c>
      <c r="C386" s="4" t="inlineStr">
        <is>
          <t>FRIDGE</t>
        </is>
      </c>
      <c r="D386" s="4" t="inlineStr">
        <is>
          <t>Sysco</t>
        </is>
      </c>
      <c r="E386" s="4" t="inlineStr">
        <is>
          <t>Physically counted 2026-08-01</t>
        </is>
      </c>
      <c r="F386" s="4" t="inlineStr">
        <is>
          <t>2026-08-01</t>
        </is>
      </c>
      <c r="G386" s="5" t="n">
        <v>0</v>
      </c>
      <c r="H386" s="4" t="inlineStr">
        <is>
          <t>case</t>
        </is>
      </c>
      <c r="I386" s="5" t="n">
        <v>0</v>
      </c>
      <c r="J386" s="4" t="inlineStr">
        <is>
          <t>g</t>
        </is>
      </c>
      <c r="K386" s="6" t="n">
        <v>0.01102036632039366</v>
      </c>
      <c r="L386" s="6" t="n">
        <v>0.01102036632039366</v>
      </c>
      <c r="M386" s="7">
        <f>I386*K386</f>
        <v/>
      </c>
      <c r="N386" s="7">
        <f>I386*L386</f>
        <v/>
      </c>
      <c r="O386" s="7">
        <f>N386-M386</f>
        <v/>
      </c>
      <c r="P386" s="7" t="n">
        <v>11.02036632039366</v>
      </c>
      <c r="Q386" s="4" t="inlineStr">
        <is>
          <t>kg</t>
        </is>
      </c>
      <c r="R386" s="4" t="inlineStr">
        <is>
          <t>4 case → 907.184 each</t>
        </is>
      </c>
    </row>
    <row r="387">
      <c r="A387" s="4" t="inlineStr">
        <is>
          <t>Onion Red</t>
        </is>
      </c>
      <c r="B387" s="4" t="inlineStr">
        <is>
          <t>PROD</t>
        </is>
      </c>
      <c r="C387" s="4" t="inlineStr">
        <is>
          <t>FRIDGE</t>
        </is>
      </c>
      <c r="D387" s="4" t="inlineStr">
        <is>
          <t>Sysco</t>
        </is>
      </c>
      <c r="E387" s="4" t="inlineStr">
        <is>
          <t>Physically counted 2026-08-01</t>
        </is>
      </c>
      <c r="F387" s="4" t="inlineStr">
        <is>
          <t>2026-08-01</t>
        </is>
      </c>
      <c r="G387" s="5" t="n">
        <v>0.7</v>
      </c>
      <c r="H387" s="4" t="inlineStr">
        <is>
          <t>case</t>
        </is>
      </c>
      <c r="I387" s="5" t="n">
        <v>7937.859999999999</v>
      </c>
      <c r="J387" s="4" t="inlineStr">
        <is>
          <t>g</t>
        </is>
      </c>
      <c r="K387" s="6" t="n">
        <v>0.004239933684897441</v>
      </c>
      <c r="L387" s="6" t="n">
        <v>0.004247870332810103</v>
      </c>
      <c r="M387" s="7">
        <f>I387*K387</f>
        <v/>
      </c>
      <c r="N387" s="7">
        <f>I387*L387</f>
        <v/>
      </c>
      <c r="O387" s="7">
        <f>N387-M387</f>
        <v/>
      </c>
      <c r="P387" s="7" t="n">
        <v>4.247870332810103</v>
      </c>
      <c r="Q387" s="4" t="inlineStr">
        <is>
          <t>kg</t>
        </is>
      </c>
      <c r="R387" s="4" t="inlineStr">
        <is>
          <t>11339.8 case</t>
        </is>
      </c>
    </row>
    <row r="388">
      <c r="A388" s="4" t="inlineStr">
        <is>
          <t>Onions Yellow</t>
        </is>
      </c>
      <c r="B388" s="4" t="inlineStr">
        <is>
          <t>PROD</t>
        </is>
      </c>
      <c r="C388" s="4" t="inlineStr">
        <is>
          <t>FRIDGE</t>
        </is>
      </c>
      <c r="D388" s="4" t="inlineStr">
        <is>
          <t>Sysco</t>
        </is>
      </c>
      <c r="E388" s="4" t="inlineStr">
        <is>
          <t>Physically counted 2026-08-01</t>
        </is>
      </c>
      <c r="F388" s="4" t="inlineStr">
        <is>
          <t>2026-08-01</t>
        </is>
      </c>
      <c r="G388" s="5" t="n">
        <v>1.5</v>
      </c>
      <c r="H388" s="4" t="inlineStr">
        <is>
          <t>case</t>
        </is>
      </c>
      <c r="I388" s="5" t="n">
        <v>34019.39999999999</v>
      </c>
      <c r="J388" s="4" t="inlineStr">
        <is>
          <t>g</t>
        </is>
      </c>
      <c r="K388" s="6" t="n">
        <v>0.002299864195135717</v>
      </c>
      <c r="L388" s="6" t="n">
        <v>0.002279140725585989</v>
      </c>
      <c r="M388" s="7">
        <f>I388*K388</f>
        <v/>
      </c>
      <c r="N388" s="7">
        <f>I388*L388</f>
        <v/>
      </c>
      <c r="O388" s="7">
        <f>N388-M388</f>
        <v/>
      </c>
      <c r="P388" s="7" t="n">
        <v>2.279140725585989</v>
      </c>
      <c r="Q388" s="4" t="inlineStr">
        <is>
          <t>kg</t>
        </is>
      </c>
      <c r="R388" s="4" t="inlineStr">
        <is>
          <t>22679.6 case</t>
        </is>
      </c>
    </row>
    <row r="389">
      <c r="A389" s="4" t="inlineStr">
        <is>
          <t>Oranges</t>
        </is>
      </c>
      <c r="B389" s="4" t="inlineStr">
        <is>
          <t>PROD</t>
        </is>
      </c>
      <c r="C389" s="4" t="inlineStr">
        <is>
          <t>FRIDGE</t>
        </is>
      </c>
      <c r="D389" s="4" t="inlineStr"/>
      <c r="E389" s="4" t="inlineStr">
        <is>
          <t>Physically counted 2026-08-01</t>
        </is>
      </c>
      <c r="F389" s="4" t="inlineStr">
        <is>
          <t>2026-08-01</t>
        </is>
      </c>
      <c r="G389" s="5" t="n">
        <v>0.7</v>
      </c>
      <c r="H389" s="4" t="inlineStr">
        <is>
          <t>box</t>
        </is>
      </c>
      <c r="I389" s="5" t="n">
        <v>96.59999999999999</v>
      </c>
      <c r="J389" s="4" t="inlineStr">
        <is>
          <t>each</t>
        </is>
      </c>
      <c r="K389" s="6" t="n">
        <v>0.4915942028985508</v>
      </c>
      <c r="L389" s="6" t="n">
        <v>0.4915942028985508</v>
      </c>
      <c r="M389" s="7">
        <f>I389*K389</f>
        <v/>
      </c>
      <c r="N389" s="7">
        <f>I389*L389</f>
        <v/>
      </c>
      <c r="O389" s="7">
        <f>N389-M389</f>
        <v/>
      </c>
      <c r="P389" s="7" t="n">
        <v>0.4915942028985508</v>
      </c>
      <c r="Q389" s="4" t="inlineStr">
        <is>
          <t>each</t>
        </is>
      </c>
      <c r="R389" s="4" t="inlineStr">
        <is>
          <t>1 box → 138 each</t>
        </is>
      </c>
    </row>
    <row r="390">
      <c r="A390" s="4" t="inlineStr">
        <is>
          <t>Parsley</t>
        </is>
      </c>
      <c r="B390" s="4" t="inlineStr">
        <is>
          <t>PROD</t>
        </is>
      </c>
      <c r="C390" s="4" t="inlineStr">
        <is>
          <t>FRIDGE</t>
        </is>
      </c>
      <c r="D390" s="4" t="inlineStr">
        <is>
          <t>Sysco</t>
        </is>
      </c>
      <c r="E390" s="4" t="inlineStr">
        <is>
          <t>Physically counted 2026-08-01</t>
        </is>
      </c>
      <c r="F390" s="4" t="inlineStr">
        <is>
          <t>2026-08-01</t>
        </is>
      </c>
      <c r="G390" s="5" t="n">
        <v>1</v>
      </c>
      <c r="H390" s="4" t="inlineStr">
        <is>
          <t>lb</t>
        </is>
      </c>
      <c r="I390" s="5" t="n">
        <v>453.592</v>
      </c>
      <c r="J390" s="4" t="inlineStr">
        <is>
          <t>g</t>
        </is>
      </c>
      <c r="K390" s="6" t="n">
        <v>0.04235083511173037</v>
      </c>
      <c r="L390" s="6" t="n">
        <v>0.04235083511173037</v>
      </c>
      <c r="M390" s="7">
        <f>I390*K390</f>
        <v/>
      </c>
      <c r="N390" s="7">
        <f>I390*L390</f>
        <v/>
      </c>
      <c r="O390" s="7">
        <f>N390-M390</f>
        <v/>
      </c>
      <c r="P390" s="7" t="n">
        <v>42.35083511173037</v>
      </c>
      <c r="Q390" s="4" t="inlineStr">
        <is>
          <t>kg</t>
        </is>
      </c>
      <c r="R390" s="4" t="inlineStr">
        <is>
          <t>453.592 case</t>
        </is>
      </c>
    </row>
    <row r="391">
      <c r="A391" s="4" t="inlineStr">
        <is>
          <t>peaches</t>
        </is>
      </c>
      <c r="B391" s="4" t="inlineStr">
        <is>
          <t>PROD</t>
        </is>
      </c>
      <c r="C391" s="4" t="inlineStr"/>
      <c r="D391" s="4" t="inlineStr"/>
      <c r="E391" s="4" t="inlineStr">
        <is>
          <t>Physically counted 2026-08-01</t>
        </is>
      </c>
      <c r="F391" s="4" t="inlineStr">
        <is>
          <t>2026-08-01</t>
        </is>
      </c>
      <c r="G391" s="5" t="n">
        <v>25</v>
      </c>
      <c r="H391" s="4" t="inlineStr">
        <is>
          <t>each</t>
        </is>
      </c>
      <c r="I391" s="5" t="n">
        <v>25</v>
      </c>
      <c r="J391" s="4" t="inlineStr">
        <is>
          <t>g</t>
        </is>
      </c>
      <c r="K391" s="6" t="n">
        <v>0</v>
      </c>
      <c r="L391" s="6" t="n">
        <v>0</v>
      </c>
      <c r="M391" s="7">
        <f>I391*K391</f>
        <v/>
      </c>
      <c r="N391" s="7">
        <f>I391*L391</f>
        <v/>
      </c>
      <c r="O391" s="7">
        <f>N391-M391</f>
        <v/>
      </c>
      <c r="P391" s="7" t="n">
        <v>0</v>
      </c>
      <c r="Q391" s="4" t="inlineStr">
        <is>
          <t>kg</t>
        </is>
      </c>
      <c r="R391" s="4" t="inlineStr">
        <is>
          <t>9071.84 case</t>
        </is>
      </c>
    </row>
    <row r="392">
      <c r="A392" s="4" t="inlineStr">
        <is>
          <t>Pears</t>
        </is>
      </c>
      <c r="B392" s="4" t="inlineStr">
        <is>
          <t>PROD</t>
        </is>
      </c>
      <c r="C392" s="4" t="inlineStr"/>
      <c r="D392" s="4" t="inlineStr">
        <is>
          <t>Sysco</t>
        </is>
      </c>
      <c r="E392" s="4" t="inlineStr">
        <is>
          <t>Physically counted 2026-08-01</t>
        </is>
      </c>
      <c r="F392" s="4" t="inlineStr">
        <is>
          <t>2026-08-01</t>
        </is>
      </c>
      <c r="G392" s="5" t="n">
        <v>0</v>
      </c>
      <c r="H392" s="4" t="inlineStr">
        <is>
          <t>case</t>
        </is>
      </c>
      <c r="I392" s="5" t="n">
        <v>0</v>
      </c>
      <c r="J392" s="4" t="inlineStr">
        <is>
          <t>each</t>
        </is>
      </c>
      <c r="K392" s="6" t="n">
        <v>2.303333333333333</v>
      </c>
      <c r="L392" s="6" t="n">
        <v>2.303333333333333</v>
      </c>
      <c r="M392" s="7">
        <f>I392*K392</f>
        <v/>
      </c>
      <c r="N392" s="7">
        <f>I392*L392</f>
        <v/>
      </c>
      <c r="O392" s="7">
        <f>N392-M392</f>
        <v/>
      </c>
      <c r="P392" s="7" t="n">
        <v>2.303333333333333</v>
      </c>
      <c r="Q392" s="4" t="inlineStr">
        <is>
          <t>each</t>
        </is>
      </c>
      <c r="R392" s="4" t="inlineStr">
        <is>
          <t>12 case</t>
        </is>
      </c>
    </row>
    <row r="393">
      <c r="A393" s="4" t="inlineStr">
        <is>
          <t>PEPPER JALAPENO FRESH</t>
        </is>
      </c>
      <c r="B393" s="4" t="inlineStr">
        <is>
          <t>PROD</t>
        </is>
      </c>
      <c r="C393" s="4" t="inlineStr"/>
      <c r="D393" s="4" t="inlineStr">
        <is>
          <t>Sysco</t>
        </is>
      </c>
      <c r="E393" s="4" t="inlineStr">
        <is>
          <t>Physically counted 2026-08-01</t>
        </is>
      </c>
      <c r="F393" s="4" t="inlineStr">
        <is>
          <t>2026-08-01</t>
        </is>
      </c>
      <c r="G393" s="5" t="n">
        <v>0</v>
      </c>
      <c r="H393" s="4" t="inlineStr">
        <is>
          <t>case</t>
        </is>
      </c>
      <c r="I393" s="5" t="n">
        <v>0</v>
      </c>
      <c r="J393" s="4" t="inlineStr">
        <is>
          <t>g</t>
        </is>
      </c>
      <c r="K393" s="6" t="n">
        <v>0.006527892908164165</v>
      </c>
      <c r="L393" s="6" t="n">
        <v>0.006527892908164165</v>
      </c>
      <c r="M393" s="7">
        <f>I393*K393</f>
        <v/>
      </c>
      <c r="N393" s="7">
        <f>I393*L393</f>
        <v/>
      </c>
      <c r="O393" s="7">
        <f>N393-M393</f>
        <v/>
      </c>
      <c r="P393" s="7" t="n">
        <v>6.527892908164165</v>
      </c>
      <c r="Q393" s="4" t="inlineStr">
        <is>
          <t>kg</t>
        </is>
      </c>
      <c r="R393" s="4" t="inlineStr">
        <is>
          <t>1 case → 4535.92 each</t>
        </is>
      </c>
    </row>
    <row r="394">
      <c r="A394" s="4" t="inlineStr">
        <is>
          <t>Pineapple</t>
        </is>
      </c>
      <c r="B394" s="4" t="inlineStr">
        <is>
          <t>PROD</t>
        </is>
      </c>
      <c r="C394" s="4" t="inlineStr">
        <is>
          <t>FRIDGE</t>
        </is>
      </c>
      <c r="D394" s="4" t="inlineStr">
        <is>
          <t>Sysco</t>
        </is>
      </c>
      <c r="E394" s="4" t="inlineStr">
        <is>
          <t>Physically counted 2026-08-01</t>
        </is>
      </c>
      <c r="F394" s="4" t="inlineStr">
        <is>
          <t>2026-08-01</t>
        </is>
      </c>
      <c r="G394" s="5" t="n">
        <v>1</v>
      </c>
      <c r="H394" s="4" t="inlineStr">
        <is>
          <t>each</t>
        </is>
      </c>
      <c r="I394" s="5" t="n">
        <v>1</v>
      </c>
      <c r="J394" s="4" t="inlineStr">
        <is>
          <t>each</t>
        </is>
      </c>
      <c r="K394" s="6" t="n">
        <v>13.33</v>
      </c>
      <c r="L394" s="6" t="n">
        <v>13.63</v>
      </c>
      <c r="M394" s="7">
        <f>I394*K394</f>
        <v/>
      </c>
      <c r="N394" s="7">
        <f>I394*L394</f>
        <v/>
      </c>
      <c r="O394" s="7">
        <f>N394-M394</f>
        <v/>
      </c>
      <c r="P394" s="7" t="n">
        <v>13.63</v>
      </c>
      <c r="Q394" s="4" t="inlineStr">
        <is>
          <t>each</t>
        </is>
      </c>
      <c r="R394" s="4" t="inlineStr">
        <is>
          <t>3 case → 1 each</t>
        </is>
      </c>
    </row>
    <row r="395">
      <c r="A395" s="4" t="inlineStr">
        <is>
          <t>POTATO YELLOW YUKON GLD FRSH</t>
        </is>
      </c>
      <c r="B395" s="4" t="inlineStr">
        <is>
          <t>PROD</t>
        </is>
      </c>
      <c r="C395" s="4" t="inlineStr">
        <is>
          <t>FRIDGE</t>
        </is>
      </c>
      <c r="D395" s="4" t="inlineStr">
        <is>
          <t>Sysco</t>
        </is>
      </c>
      <c r="E395" s="4" t="inlineStr">
        <is>
          <t>Physically counted 2026-08-01</t>
        </is>
      </c>
      <c r="F395" s="4" t="inlineStr">
        <is>
          <t>2026-08-01</t>
        </is>
      </c>
      <c r="G395" s="5" t="n">
        <v>1</v>
      </c>
      <c r="H395" s="4" t="inlineStr">
        <is>
          <t>case</t>
        </is>
      </c>
      <c r="I395" s="5" t="n">
        <v>22679.6</v>
      </c>
      <c r="J395" s="4" t="inlineStr">
        <is>
          <t>g</t>
        </is>
      </c>
      <c r="K395" s="6" t="n">
        <v>0.002010617471207605</v>
      </c>
      <c r="L395" s="6" t="n">
        <v>0.002010617471207605</v>
      </c>
      <c r="M395" s="7">
        <f>I395*K395</f>
        <v/>
      </c>
      <c r="N395" s="7">
        <f>I395*L395</f>
        <v/>
      </c>
      <c r="O395" s="7">
        <f>N395-M395</f>
        <v/>
      </c>
      <c r="P395" s="7" t="n">
        <v>2.010617471207605</v>
      </c>
      <c r="Q395" s="4" t="inlineStr">
        <is>
          <t>kg</t>
        </is>
      </c>
      <c r="R395" s="4" t="inlineStr">
        <is>
          <t>1 case → 22679.6 each</t>
        </is>
      </c>
    </row>
    <row r="396">
      <c r="A396" s="4" t="inlineStr">
        <is>
          <t>Radish</t>
        </is>
      </c>
      <c r="B396" s="4" t="inlineStr">
        <is>
          <t>PROD</t>
        </is>
      </c>
      <c r="C396" s="4" t="inlineStr">
        <is>
          <t>FRIDGE</t>
        </is>
      </c>
      <c r="D396" s="4" t="inlineStr"/>
      <c r="E396" s="4" t="inlineStr">
        <is>
          <t>Physically counted 2026-08-01</t>
        </is>
      </c>
      <c r="F396" s="4" t="inlineStr">
        <is>
          <t>2026-08-01</t>
        </is>
      </c>
      <c r="G396" s="5" t="n">
        <v>5</v>
      </c>
      <c r="H396" s="4" t="inlineStr">
        <is>
          <t>lb</t>
        </is>
      </c>
      <c r="I396" s="5" t="n">
        <v>2267.96</v>
      </c>
      <c r="J396" s="4" t="inlineStr">
        <is>
          <t>g</t>
        </is>
      </c>
      <c r="K396" s="6" t="n">
        <v>0.01011922608864354</v>
      </c>
      <c r="L396" s="6" t="n">
        <v>0.01011922608864354</v>
      </c>
      <c r="M396" s="7">
        <f>I396*K396</f>
        <v/>
      </c>
      <c r="N396" s="7">
        <f>I396*L396</f>
        <v/>
      </c>
      <c r="O396" s="7">
        <f>N396-M396</f>
        <v/>
      </c>
      <c r="P396" s="7" t="n">
        <v>10.11922608864354</v>
      </c>
      <c r="Q396" s="4" t="inlineStr">
        <is>
          <t>kg</t>
        </is>
      </c>
      <c r="R396" s="4" t="inlineStr">
        <is>
          <t>1 each → 453.592 each</t>
        </is>
      </c>
    </row>
    <row r="397">
      <c r="A397" s="4" t="inlineStr">
        <is>
          <t>Red Peppers</t>
        </is>
      </c>
      <c r="B397" s="4" t="inlineStr">
        <is>
          <t>PROD</t>
        </is>
      </c>
      <c r="C397" s="4" t="inlineStr"/>
      <c r="D397" s="4" t="inlineStr"/>
      <c r="E397" s="4" t="inlineStr">
        <is>
          <t>Physically counted 2026-08-01</t>
        </is>
      </c>
      <c r="F397" s="4" t="inlineStr">
        <is>
          <t>2026-08-01</t>
        </is>
      </c>
      <c r="G397" s="5" t="n">
        <v>1</v>
      </c>
      <c r="H397" s="4" t="inlineStr">
        <is>
          <t>cs</t>
        </is>
      </c>
      <c r="I397" s="5" t="n">
        <v>1</v>
      </c>
      <c r="J397" s="4" t="inlineStr">
        <is>
          <t>each</t>
        </is>
      </c>
      <c r="K397" s="6" t="n">
        <v>33.65</v>
      </c>
      <c r="L397" s="6" t="n">
        <v>70.86</v>
      </c>
      <c r="M397" s="7">
        <f>I397*K397</f>
        <v/>
      </c>
      <c r="N397" s="7">
        <f>I397*L397</f>
        <v/>
      </c>
      <c r="O397" s="7">
        <f>N397-M397</f>
        <v/>
      </c>
      <c r="P397" s="7" t="n">
        <v>70.86</v>
      </c>
      <c r="Q397" s="4" t="inlineStr">
        <is>
          <t>each</t>
        </is>
      </c>
      <c r="R397" s="4" t="inlineStr">
        <is>
          <t>1 cs</t>
        </is>
      </c>
    </row>
    <row r="398">
      <c r="A398" s="4" t="inlineStr">
        <is>
          <t>Rhubarb Crimson</t>
        </is>
      </c>
      <c r="B398" s="4" t="inlineStr">
        <is>
          <t>PROD</t>
        </is>
      </c>
      <c r="C398" s="4" t="inlineStr"/>
      <c r="D398" s="4" t="inlineStr">
        <is>
          <t>North Arm Farms</t>
        </is>
      </c>
      <c r="E398" s="4" t="inlineStr">
        <is>
          <t>Physically counted 2026-08-01</t>
        </is>
      </c>
      <c r="F398" s="4" t="inlineStr">
        <is>
          <t>2026-08-01</t>
        </is>
      </c>
      <c r="G398" s="5" t="n">
        <v>0</v>
      </c>
      <c r="H398" s="4" t="inlineStr">
        <is>
          <t>lb</t>
        </is>
      </c>
      <c r="I398" s="5" t="n">
        <v>0</v>
      </c>
      <c r="J398" s="4" t="inlineStr">
        <is>
          <t>g</t>
        </is>
      </c>
      <c r="K398" s="6" t="n">
        <v>0.00813506411047814</v>
      </c>
      <c r="L398" s="6" t="n">
        <v>0.00813506411047814</v>
      </c>
      <c r="M398" s="7">
        <f>I398*K398</f>
        <v/>
      </c>
      <c r="N398" s="7">
        <f>I398*L398</f>
        <v/>
      </c>
      <c r="O398" s="7">
        <f>N398-M398</f>
        <v/>
      </c>
      <c r="P398" s="7" t="n">
        <v>8.13506411047814</v>
      </c>
      <c r="Q398" s="4" t="inlineStr">
        <is>
          <t>kg</t>
        </is>
      </c>
      <c r="R398" s="4" t="inlineStr">
        <is>
          <t>453.592 each</t>
        </is>
      </c>
    </row>
    <row r="399">
      <c r="A399" s="4" t="inlineStr">
        <is>
          <t>rosemary</t>
        </is>
      </c>
      <c r="B399" s="4" t="inlineStr">
        <is>
          <t>PROD</t>
        </is>
      </c>
      <c r="C399" s="4" t="inlineStr">
        <is>
          <t>FRIDGE</t>
        </is>
      </c>
      <c r="D399" s="4" t="inlineStr"/>
      <c r="E399" s="4" t="inlineStr">
        <is>
          <t>Physically counted 2026-08-01</t>
        </is>
      </c>
      <c r="F399" s="4" t="inlineStr">
        <is>
          <t>2026-08-01</t>
        </is>
      </c>
      <c r="G399" s="5" t="n">
        <v>0</v>
      </c>
      <c r="H399" s="4" t="inlineStr">
        <is>
          <t>case</t>
        </is>
      </c>
      <c r="I399" s="5" t="n">
        <v>0</v>
      </c>
      <c r="J399" s="4" t="inlineStr">
        <is>
          <t>g</t>
        </is>
      </c>
      <c r="K399" s="6" t="n">
        <v>0.05066226917582321</v>
      </c>
      <c r="L399" s="6" t="n">
        <v>0.05066226917582321</v>
      </c>
      <c r="M399" s="7">
        <f>I399*K399</f>
        <v/>
      </c>
      <c r="N399" s="7">
        <f>I399*L399</f>
        <v/>
      </c>
      <c r="O399" s="7">
        <f>N399-M399</f>
        <v/>
      </c>
      <c r="P399" s="7" t="n">
        <v>50.66226917582321</v>
      </c>
      <c r="Q399" s="4" t="inlineStr">
        <is>
          <t>kg</t>
        </is>
      </c>
      <c r="R399" s="4" t="inlineStr">
        <is>
          <t>1 case → 453.592 each</t>
        </is>
      </c>
    </row>
    <row r="400">
      <c r="A400" s="4" t="inlineStr">
        <is>
          <t>Sage</t>
        </is>
      </c>
      <c r="B400" s="4" t="inlineStr">
        <is>
          <t>PROD</t>
        </is>
      </c>
      <c r="C400" s="4" t="inlineStr">
        <is>
          <t>FRIDGE</t>
        </is>
      </c>
      <c r="D400" s="4" t="inlineStr">
        <is>
          <t>Sysco</t>
        </is>
      </c>
      <c r="E400" s="4" t="inlineStr">
        <is>
          <t>Physically counted 2026-08-01</t>
        </is>
      </c>
      <c r="F400" s="4" t="inlineStr">
        <is>
          <t>2026-08-01</t>
        </is>
      </c>
      <c r="G400" s="5" t="n">
        <v>0</v>
      </c>
      <c r="H400" s="4" t="inlineStr">
        <is>
          <t>pack</t>
        </is>
      </c>
      <c r="I400" s="5" t="n">
        <v>0</v>
      </c>
      <c r="J400" s="4" t="inlineStr">
        <is>
          <t>g</t>
        </is>
      </c>
      <c r="K400" s="6" t="n">
        <v>0.07901373921938659</v>
      </c>
      <c r="L400" s="6" t="n">
        <v>0.07901373921938659</v>
      </c>
      <c r="M400" s="7">
        <f>I400*K400</f>
        <v/>
      </c>
      <c r="N400" s="7">
        <f>I400*L400</f>
        <v/>
      </c>
      <c r="O400" s="7">
        <f>N400-M400</f>
        <v/>
      </c>
      <c r="P400" s="7" t="n">
        <v>79.01373921938659</v>
      </c>
      <c r="Q400" s="4" t="inlineStr">
        <is>
          <t>kg</t>
        </is>
      </c>
      <c r="R400" s="4" t="inlineStr">
        <is>
          <t>1 pack → 113.398 each</t>
        </is>
      </c>
    </row>
    <row r="401">
      <c r="A401" s="4" t="inlineStr">
        <is>
          <t>Salad Mix O/S</t>
        </is>
      </c>
      <c r="B401" s="4" t="inlineStr">
        <is>
          <t>PROD</t>
        </is>
      </c>
      <c r="C401" s="4" t="inlineStr"/>
      <c r="D401" s="4" t="inlineStr">
        <is>
          <t>North Arm Farms</t>
        </is>
      </c>
      <c r="E401" s="4" t="inlineStr">
        <is>
          <t>Physically counted 2026-08-01</t>
        </is>
      </c>
      <c r="F401" s="4" t="inlineStr">
        <is>
          <t>2026-08-01</t>
        </is>
      </c>
      <c r="G401" s="5" t="n">
        <v>0</v>
      </c>
      <c r="H401" s="4" t="inlineStr">
        <is>
          <t>lb</t>
        </is>
      </c>
      <c r="I401" s="5" t="n">
        <v>0</v>
      </c>
      <c r="J401" s="4" t="inlineStr">
        <is>
          <t>g</t>
        </is>
      </c>
      <c r="K401" s="6" t="n">
        <v>0.05068431542002504</v>
      </c>
      <c r="L401" s="6" t="n">
        <v>0.05068431542002504</v>
      </c>
      <c r="M401" s="7">
        <f>I401*K401</f>
        <v/>
      </c>
      <c r="N401" s="7">
        <f>I401*L401</f>
        <v/>
      </c>
      <c r="O401" s="7">
        <f>N401-M401</f>
        <v/>
      </c>
      <c r="P401" s="7" t="n">
        <v>50.68431542002504</v>
      </c>
      <c r="Q401" s="4" t="inlineStr">
        <is>
          <t>kg</t>
        </is>
      </c>
      <c r="R401" s="4" t="inlineStr">
        <is>
          <t>453.592 each</t>
        </is>
      </c>
    </row>
    <row r="402">
      <c r="A402" s="4" t="inlineStr">
        <is>
          <t>Shallots</t>
        </is>
      </c>
      <c r="B402" s="4" t="inlineStr">
        <is>
          <t>PROD</t>
        </is>
      </c>
      <c r="C402" s="4" t="inlineStr">
        <is>
          <t>FRIDGE</t>
        </is>
      </c>
      <c r="D402" s="4" t="inlineStr">
        <is>
          <t>Sysco</t>
        </is>
      </c>
      <c r="E402" s="4" t="inlineStr">
        <is>
          <t>Physically counted 2026-08-01</t>
        </is>
      </c>
      <c r="F402" s="4" t="inlineStr">
        <is>
          <t>2026-08-01</t>
        </is>
      </c>
      <c r="G402" s="5" t="n">
        <v>0</v>
      </c>
      <c r="H402" s="4" t="inlineStr">
        <is>
          <t>lb</t>
        </is>
      </c>
      <c r="I402" s="5" t="n">
        <v>0</v>
      </c>
      <c r="J402" s="4" t="inlineStr">
        <is>
          <t>g</t>
        </is>
      </c>
      <c r="K402" s="6" t="n">
        <v>0.01650381840949576</v>
      </c>
      <c r="L402" s="6" t="n">
        <v>0.01650381840949576</v>
      </c>
      <c r="M402" s="7">
        <f>I402*K402</f>
        <v/>
      </c>
      <c r="N402" s="7">
        <f>I402*L402</f>
        <v/>
      </c>
      <c r="O402" s="7">
        <f>N402-M402</f>
        <v/>
      </c>
      <c r="P402" s="7" t="n">
        <v>16.50381840949576</v>
      </c>
      <c r="Q402" s="4" t="inlineStr">
        <is>
          <t>kg</t>
        </is>
      </c>
      <c r="R402" s="4" t="inlineStr">
        <is>
          <t>1 case → 2267.96 each</t>
        </is>
      </c>
    </row>
    <row r="403">
      <c r="A403" s="4" t="inlineStr">
        <is>
          <t>sorrel</t>
        </is>
      </c>
      <c r="B403" s="4" t="inlineStr">
        <is>
          <t>PROD</t>
        </is>
      </c>
      <c r="C403" s="4" t="inlineStr">
        <is>
          <t>FRIDGE</t>
        </is>
      </c>
      <c r="D403" s="4" t="inlineStr"/>
      <c r="E403" s="4" t="inlineStr">
        <is>
          <t>Physically counted 2026-08-01</t>
        </is>
      </c>
      <c r="F403" s="4" t="inlineStr">
        <is>
          <t>2026-08-01</t>
        </is>
      </c>
      <c r="G403" s="5" t="n">
        <v>0</v>
      </c>
      <c r="H403" s="4" t="inlineStr">
        <is>
          <t>each</t>
        </is>
      </c>
      <c r="I403" s="5" t="n">
        <v>0</v>
      </c>
      <c r="J403" s="4" t="inlineStr">
        <is>
          <t>each</t>
        </is>
      </c>
      <c r="K403" s="6" t="n">
        <v>22</v>
      </c>
      <c r="L403" s="6" t="n">
        <v>22</v>
      </c>
      <c r="M403" s="7">
        <f>I403*K403</f>
        <v/>
      </c>
      <c r="N403" s="7">
        <f>I403*L403</f>
        <v/>
      </c>
      <c r="O403" s="7">
        <f>N403-M403</f>
        <v/>
      </c>
      <c r="P403" s="7" t="n">
        <v>22</v>
      </c>
      <c r="Q403" s="4" t="inlineStr">
        <is>
          <t>each</t>
        </is>
      </c>
      <c r="R403" s="4" t="inlineStr">
        <is>
          <t>1 each → 1 each</t>
        </is>
      </c>
    </row>
    <row r="404">
      <c r="A404" s="4" t="inlineStr">
        <is>
          <t>Squash Butternut</t>
        </is>
      </c>
      <c r="B404" s="4" t="inlineStr">
        <is>
          <t>PROD</t>
        </is>
      </c>
      <c r="C404" s="4" t="inlineStr">
        <is>
          <t>FRIDGE</t>
        </is>
      </c>
      <c r="D404" s="4" t="inlineStr">
        <is>
          <t>Sysco</t>
        </is>
      </c>
      <c r="E404" s="4" t="inlineStr">
        <is>
          <t>Physically counted 2026-08-01</t>
        </is>
      </c>
      <c r="F404" s="4" t="inlineStr">
        <is>
          <t>2026-08-01</t>
        </is>
      </c>
      <c r="G404" s="5" t="n">
        <v>24</v>
      </c>
      <c r="H404" s="4" t="inlineStr">
        <is>
          <t>each</t>
        </is>
      </c>
      <c r="I404" s="5" t="n">
        <v>24</v>
      </c>
      <c r="J404" s="4" t="inlineStr">
        <is>
          <t>each</t>
        </is>
      </c>
      <c r="K404" s="6" t="n">
        <v>1.405333333333333</v>
      </c>
      <c r="L404" s="6" t="n">
        <v>1.728333333333333</v>
      </c>
      <c r="M404" s="7">
        <f>I404*K404</f>
        <v/>
      </c>
      <c r="N404" s="7">
        <f>I404*L404</f>
        <v/>
      </c>
      <c r="O404" s="7">
        <f>N404-M404</f>
        <v/>
      </c>
      <c r="P404" s="7" t="n">
        <v>1.728333333333333</v>
      </c>
      <c r="Q404" s="4" t="inlineStr">
        <is>
          <t>each</t>
        </is>
      </c>
      <c r="R404" s="4" t="inlineStr">
        <is>
          <t>30 case → 1 pack</t>
        </is>
      </c>
    </row>
    <row r="405">
      <c r="A405" s="4" t="inlineStr">
        <is>
          <t>Strawberries</t>
        </is>
      </c>
      <c r="B405" s="4" t="inlineStr">
        <is>
          <t>PROD</t>
        </is>
      </c>
      <c r="C405" s="4" t="inlineStr">
        <is>
          <t>FRIDGE</t>
        </is>
      </c>
      <c r="D405" s="4" t="inlineStr">
        <is>
          <t>Sysco</t>
        </is>
      </c>
      <c r="E405" s="4" t="inlineStr">
        <is>
          <t>Physically counted 2026-08-01</t>
        </is>
      </c>
      <c r="F405" s="4" t="inlineStr">
        <is>
          <t>2026-08-01</t>
        </is>
      </c>
      <c r="G405" s="5" t="n">
        <v>0</v>
      </c>
      <c r="H405" s="4" t="inlineStr">
        <is>
          <t>each</t>
        </is>
      </c>
      <c r="I405" s="5" t="n">
        <v>0</v>
      </c>
      <c r="J405" s="4" t="inlineStr">
        <is>
          <t>g</t>
        </is>
      </c>
      <c r="K405" s="6" t="n">
        <v>0.007744166666666667</v>
      </c>
      <c r="L405" s="6" t="n">
        <v>0.007744166666666667</v>
      </c>
      <c r="M405" s="7">
        <f>I405*K405</f>
        <v/>
      </c>
      <c r="N405" s="7">
        <f>I405*L405</f>
        <v/>
      </c>
      <c r="O405" s="7">
        <f>N405-M405</f>
        <v/>
      </c>
      <c r="P405" s="7" t="n">
        <v>7.744166666666668</v>
      </c>
      <c r="Q405" s="4" t="inlineStr">
        <is>
          <t>kg</t>
        </is>
      </c>
      <c r="R405" s="4" t="inlineStr">
        <is>
          <t>6 box → 2000 each</t>
        </is>
      </c>
    </row>
    <row r="406">
      <c r="A406" s="4" t="inlineStr">
        <is>
          <t>STRAWBERRY FRESH CALIF CLAMSHL</t>
        </is>
      </c>
      <c r="B406" s="4" t="inlineStr">
        <is>
          <t>PROD</t>
        </is>
      </c>
      <c r="C406" s="4" t="inlineStr"/>
      <c r="D406" s="4" t="inlineStr">
        <is>
          <t>Sysco</t>
        </is>
      </c>
      <c r="E406" s="4" t="inlineStr">
        <is>
          <t>Physically counted 2026-08-01</t>
        </is>
      </c>
      <c r="F406" s="4" t="inlineStr">
        <is>
          <t>2026-08-01</t>
        </is>
      </c>
      <c r="G406" s="5" t="n">
        <v>0</v>
      </c>
      <c r="H406" s="4" t="inlineStr">
        <is>
          <t>each</t>
        </is>
      </c>
      <c r="I406" s="5" t="n">
        <v>0</v>
      </c>
      <c r="J406" s="4" t="inlineStr">
        <is>
          <t>g</t>
        </is>
      </c>
      <c r="K406" s="6" t="n">
        <v>0.01438517434169915</v>
      </c>
      <c r="L406" s="6" t="n">
        <v>0.01438517434169915</v>
      </c>
      <c r="M406" s="7">
        <f>I406*K406</f>
        <v/>
      </c>
      <c r="N406" s="7">
        <f>I406*L406</f>
        <v/>
      </c>
      <c r="O406" s="7">
        <f>N406-M406</f>
        <v/>
      </c>
      <c r="P406" s="7" t="n">
        <v>14.38517434169915</v>
      </c>
      <c r="Q406" s="4" t="inlineStr">
        <is>
          <t>kg</t>
        </is>
      </c>
      <c r="R406" s="4" t="inlineStr">
        <is>
          <t>2 case → 1814.368 each</t>
        </is>
      </c>
    </row>
    <row r="407">
      <c r="A407" s="4" t="inlineStr">
        <is>
          <t>sunchokes</t>
        </is>
      </c>
      <c r="B407" s="4" t="inlineStr">
        <is>
          <t>PROD</t>
        </is>
      </c>
      <c r="C407" s="4" t="inlineStr">
        <is>
          <t>FRIDGE</t>
        </is>
      </c>
      <c r="D407" s="4" t="inlineStr"/>
      <c r="E407" s="4" t="inlineStr">
        <is>
          <t>Physically counted 2026-08-01</t>
        </is>
      </c>
      <c r="F407" s="4" t="inlineStr">
        <is>
          <t>2026-08-01</t>
        </is>
      </c>
      <c r="G407" s="5" t="n">
        <v>0</v>
      </c>
      <c r="H407" s="4" t="inlineStr">
        <is>
          <t>each</t>
        </is>
      </c>
      <c r="I407" s="5" t="n">
        <v>0</v>
      </c>
      <c r="J407" s="4" t="inlineStr">
        <is>
          <t>each</t>
        </is>
      </c>
      <c r="K407" s="6" t="n">
        <v>0</v>
      </c>
      <c r="L407" s="6" t="n">
        <v>0</v>
      </c>
      <c r="M407" s="7">
        <f>I407*K407</f>
        <v/>
      </c>
      <c r="N407" s="7">
        <f>I407*L407</f>
        <v/>
      </c>
      <c r="O407" s="7">
        <f>N407-M407</f>
        <v/>
      </c>
      <c r="P407" s="7" t="n">
        <v>0</v>
      </c>
      <c r="Q407" s="4" t="inlineStr">
        <is>
          <t>each</t>
        </is>
      </c>
      <c r="R407" s="4" t="inlineStr">
        <is>
          <t>1 each → 1 each</t>
        </is>
      </c>
    </row>
    <row r="408">
      <c r="A408" s="4" t="inlineStr">
        <is>
          <t>sweet potato</t>
        </is>
      </c>
      <c r="B408" s="4" t="inlineStr">
        <is>
          <t>PROD</t>
        </is>
      </c>
      <c r="C408" s="4" t="inlineStr">
        <is>
          <t>FRIDGE</t>
        </is>
      </c>
      <c r="D408" s="4" t="inlineStr"/>
      <c r="E408" s="4" t="inlineStr">
        <is>
          <t>Physically counted 2026-08-01</t>
        </is>
      </c>
      <c r="F408" s="4" t="inlineStr">
        <is>
          <t>2026-08-01</t>
        </is>
      </c>
      <c r="G408" s="5" t="n">
        <v>0</v>
      </c>
      <c r="H408" s="4" t="inlineStr">
        <is>
          <t>each</t>
        </is>
      </c>
      <c r="I408" s="5" t="n">
        <v>0</v>
      </c>
      <c r="J408" s="4" t="inlineStr">
        <is>
          <t>each</t>
        </is>
      </c>
      <c r="K408" s="6" t="n">
        <v>0</v>
      </c>
      <c r="L408" s="6" t="n">
        <v>0</v>
      </c>
      <c r="M408" s="7">
        <f>I408*K408</f>
        <v/>
      </c>
      <c r="N408" s="7">
        <f>I408*L408</f>
        <v/>
      </c>
      <c r="O408" s="7">
        <f>N408-M408</f>
        <v/>
      </c>
      <c r="P408" s="7" t="n">
        <v>0</v>
      </c>
      <c r="Q408" s="4" t="inlineStr">
        <is>
          <t>each</t>
        </is>
      </c>
      <c r="R408" s="4" t="inlineStr">
        <is>
          <t>1 each → 1 each</t>
        </is>
      </c>
    </row>
    <row r="409">
      <c r="A409" s="4" t="inlineStr">
        <is>
          <t>thai vhilis</t>
        </is>
      </c>
      <c r="B409" s="4" t="inlineStr">
        <is>
          <t>PROD</t>
        </is>
      </c>
      <c r="C409" s="4" t="inlineStr">
        <is>
          <t>FRIDGE</t>
        </is>
      </c>
      <c r="D409" s="4" t="inlineStr"/>
      <c r="E409" s="4" t="inlineStr">
        <is>
          <t>Physically counted 2026-08-01</t>
        </is>
      </c>
      <c r="F409" s="4" t="inlineStr">
        <is>
          <t>2026-08-01</t>
        </is>
      </c>
      <c r="G409" s="5" t="n">
        <v>0</v>
      </c>
      <c r="H409" s="4" t="inlineStr">
        <is>
          <t>each</t>
        </is>
      </c>
      <c r="I409" s="5" t="n">
        <v>0</v>
      </c>
      <c r="J409" s="4" t="inlineStr">
        <is>
          <t>each</t>
        </is>
      </c>
      <c r="K409" s="6" t="n">
        <v>0</v>
      </c>
      <c r="L409" s="6" t="n">
        <v>0</v>
      </c>
      <c r="M409" s="7">
        <f>I409*K409</f>
        <v/>
      </c>
      <c r="N409" s="7">
        <f>I409*L409</f>
        <v/>
      </c>
      <c r="O409" s="7">
        <f>N409-M409</f>
        <v/>
      </c>
      <c r="P409" s="7" t="n">
        <v>0</v>
      </c>
      <c r="Q409" s="4" t="inlineStr">
        <is>
          <t>each</t>
        </is>
      </c>
      <c r="R409" s="4" t="inlineStr">
        <is>
          <t>1 each → 1 each</t>
        </is>
      </c>
    </row>
    <row r="410">
      <c r="A410" s="4" t="inlineStr">
        <is>
          <t>Thyme</t>
        </is>
      </c>
      <c r="B410" s="4" t="inlineStr">
        <is>
          <t>PROD</t>
        </is>
      </c>
      <c r="C410" s="4" t="inlineStr">
        <is>
          <t>FRIDGE</t>
        </is>
      </c>
      <c r="D410" s="4" t="inlineStr"/>
      <c r="E410" s="4" t="inlineStr">
        <is>
          <t>Physically counted 2026-08-01</t>
        </is>
      </c>
      <c r="F410" s="4" t="inlineStr">
        <is>
          <t>2026-08-01</t>
        </is>
      </c>
      <c r="G410" s="5" t="n">
        <v>1</v>
      </c>
      <c r="H410" s="4" t="inlineStr">
        <is>
          <t>lb</t>
        </is>
      </c>
      <c r="I410" s="5" t="n">
        <v>453.592</v>
      </c>
      <c r="J410" s="4" t="inlineStr">
        <is>
          <t>g</t>
        </is>
      </c>
      <c r="K410" s="6" t="n">
        <v>0.04676008395209792</v>
      </c>
      <c r="L410" s="6" t="n">
        <v>0.04676008395209792</v>
      </c>
      <c r="M410" s="7">
        <f>I410*K410</f>
        <v/>
      </c>
      <c r="N410" s="7">
        <f>I410*L410</f>
        <v/>
      </c>
      <c r="O410" s="7">
        <f>N410-M410</f>
        <v/>
      </c>
      <c r="P410" s="7" t="n">
        <v>46.76008395209792</v>
      </c>
      <c r="Q410" s="4" t="inlineStr">
        <is>
          <t>kg</t>
        </is>
      </c>
      <c r="R410" s="4" t="inlineStr">
        <is>
          <t>453.592 case</t>
        </is>
      </c>
    </row>
    <row r="411">
      <c r="A411" s="4" t="inlineStr">
        <is>
          <t>Tomatillo</t>
        </is>
      </c>
      <c r="B411" s="4" t="inlineStr">
        <is>
          <t>PROD</t>
        </is>
      </c>
      <c r="C411" s="4" t="inlineStr">
        <is>
          <t>FRIDGE</t>
        </is>
      </c>
      <c r="D411" s="4" t="inlineStr">
        <is>
          <t>Sysco</t>
        </is>
      </c>
      <c r="E411" s="4" t="inlineStr">
        <is>
          <t>Physically counted 2026-08-01</t>
        </is>
      </c>
      <c r="F411" s="4" t="inlineStr">
        <is>
          <t>2026-08-01</t>
        </is>
      </c>
      <c r="G411" s="5" t="n">
        <v>0</v>
      </c>
      <c r="H411" s="4" t="inlineStr">
        <is>
          <t>kg</t>
        </is>
      </c>
      <c r="I411" s="5" t="n">
        <v>0</v>
      </c>
      <c r="J411" s="4" t="inlineStr">
        <is>
          <t>g</t>
        </is>
      </c>
      <c r="K411" s="6" t="n">
        <v>0.006945196816270381</v>
      </c>
      <c r="L411" s="6" t="n">
        <v>0.006945196816270381</v>
      </c>
      <c r="M411" s="7">
        <f>I411*K411</f>
        <v/>
      </c>
      <c r="N411" s="7">
        <f>I411*L411</f>
        <v/>
      </c>
      <c r="O411" s="7">
        <f>N411-M411</f>
        <v/>
      </c>
      <c r="P411" s="7" t="n">
        <v>6.945196816270381</v>
      </c>
      <c r="Q411" s="4" t="inlineStr">
        <is>
          <t>kg</t>
        </is>
      </c>
      <c r="R411" s="4" t="inlineStr">
        <is>
          <t>1 each → 15875.72 each</t>
        </is>
      </c>
    </row>
    <row r="412">
      <c r="A412" s="4" t="inlineStr">
        <is>
          <t>TOMATO CHERRY MIXED 5LB</t>
        </is>
      </c>
      <c r="B412" s="4" t="inlineStr">
        <is>
          <t>PROD</t>
        </is>
      </c>
      <c r="C412" s="4" t="inlineStr">
        <is>
          <t>FRIDGE</t>
        </is>
      </c>
      <c r="D412" s="4" t="inlineStr">
        <is>
          <t>Sysco</t>
        </is>
      </c>
      <c r="E412" s="4" t="inlineStr">
        <is>
          <t>Physically counted 2026-08-01</t>
        </is>
      </c>
      <c r="F412" s="4" t="inlineStr">
        <is>
          <t>2026-08-01</t>
        </is>
      </c>
      <c r="G412" s="5" t="n">
        <v>0</v>
      </c>
      <c r="H412" s="4" t="inlineStr">
        <is>
          <t>each</t>
        </is>
      </c>
      <c r="I412" s="5" t="n">
        <v>0</v>
      </c>
      <c r="J412" s="4" t="inlineStr">
        <is>
          <t>g</t>
        </is>
      </c>
      <c r="K412" s="6" t="n">
        <v>0.01316160778849715</v>
      </c>
      <c r="L412" s="6" t="n">
        <v>0.01316160778849715</v>
      </c>
      <c r="M412" s="7">
        <f>I412*K412</f>
        <v/>
      </c>
      <c r="N412" s="7">
        <f>I412*L412</f>
        <v/>
      </c>
      <c r="O412" s="7">
        <f>N412-M412</f>
        <v/>
      </c>
      <c r="P412" s="7" t="n">
        <v>13.16160778849715</v>
      </c>
      <c r="Q412" s="4" t="inlineStr">
        <is>
          <t>kg</t>
        </is>
      </c>
      <c r="R412" s="4" t="inlineStr">
        <is>
          <t>1 case → 2267.96 each</t>
        </is>
      </c>
    </row>
    <row r="413">
      <c r="A413" s="4" t="inlineStr">
        <is>
          <t>TOMATO FRESH BEEFSTEAK TRAY</t>
        </is>
      </c>
      <c r="B413" s="4" t="inlineStr">
        <is>
          <t>PROD</t>
        </is>
      </c>
      <c r="C413" s="4" t="inlineStr"/>
      <c r="D413" s="4" t="inlineStr">
        <is>
          <t>Sysco</t>
        </is>
      </c>
      <c r="E413" s="4" t="inlineStr">
        <is>
          <t>Physically counted 2026-08-01</t>
        </is>
      </c>
      <c r="F413" s="4" t="inlineStr">
        <is>
          <t>2026-08-01</t>
        </is>
      </c>
      <c r="G413" s="5" t="n">
        <v>1.8</v>
      </c>
      <c r="H413" s="4" t="inlineStr">
        <is>
          <t>case</t>
        </is>
      </c>
      <c r="I413" s="5" t="n">
        <v>12246.984</v>
      </c>
      <c r="J413" s="4" t="inlineStr">
        <is>
          <t>g</t>
        </is>
      </c>
      <c r="K413" s="6" t="n">
        <v>0.004898675461648353</v>
      </c>
      <c r="L413" s="6" t="n">
        <v>0.004898675461648353</v>
      </c>
      <c r="M413" s="7">
        <f>I413*K413</f>
        <v/>
      </c>
      <c r="N413" s="7">
        <f>I413*L413</f>
        <v/>
      </c>
      <c r="O413" s="7">
        <f>N413-M413</f>
        <v/>
      </c>
      <c r="P413" s="7" t="n">
        <v>4.898675461648353</v>
      </c>
      <c r="Q413" s="4" t="inlineStr">
        <is>
          <t>kg</t>
        </is>
      </c>
      <c r="R413" s="4" t="inlineStr">
        <is>
          <t>1 case → 6803.88 each</t>
        </is>
      </c>
    </row>
    <row r="414">
      <c r="A414" s="4" t="inlineStr">
        <is>
          <t>tomato red</t>
        </is>
      </c>
      <c r="B414" s="4" t="inlineStr">
        <is>
          <t>PROD</t>
        </is>
      </c>
      <c r="C414" s="4" t="inlineStr">
        <is>
          <t>FRIDGE</t>
        </is>
      </c>
      <c r="D414" s="4" t="inlineStr"/>
      <c r="E414" s="4" t="inlineStr">
        <is>
          <t>Physically counted 2026-08-01</t>
        </is>
      </c>
      <c r="F414" s="4" t="inlineStr">
        <is>
          <t>2026-08-01</t>
        </is>
      </c>
      <c r="G414" s="5" t="n">
        <v>0</v>
      </c>
      <c r="H414" s="4" t="inlineStr">
        <is>
          <t>each</t>
        </is>
      </c>
      <c r="I414" s="5" t="n">
        <v>0</v>
      </c>
      <c r="J414" s="4" t="inlineStr">
        <is>
          <t>g</t>
        </is>
      </c>
      <c r="K414" s="6" t="n">
        <v>0.005881937953050318</v>
      </c>
      <c r="L414" s="6" t="n">
        <v>0.005881937953050318</v>
      </c>
      <c r="M414" s="7">
        <f>I414*K414</f>
        <v/>
      </c>
      <c r="N414" s="7">
        <f>I414*L414</f>
        <v/>
      </c>
      <c r="O414" s="7">
        <f>N414-M414</f>
        <v/>
      </c>
      <c r="P414" s="7" t="n">
        <v>5.881937953050318</v>
      </c>
      <c r="Q414" s="4" t="inlineStr">
        <is>
          <t>kg</t>
        </is>
      </c>
      <c r="R414" s="4" t="inlineStr">
        <is>
          <t>1 each → 4535.92 each</t>
        </is>
      </c>
    </row>
    <row r="415">
      <c r="A415" s="4" t="inlineStr">
        <is>
          <t>tuscan lettuce</t>
        </is>
      </c>
      <c r="B415" s="4" t="inlineStr">
        <is>
          <t>PROD</t>
        </is>
      </c>
      <c r="C415" s="4" t="inlineStr">
        <is>
          <t>FRIDGE</t>
        </is>
      </c>
      <c r="D415" s="4" t="inlineStr">
        <is>
          <t>Sysco</t>
        </is>
      </c>
      <c r="E415" s="4" t="inlineStr">
        <is>
          <t>Physically counted 2026-08-01</t>
        </is>
      </c>
      <c r="F415" s="4" t="inlineStr">
        <is>
          <t>2026-08-01</t>
        </is>
      </c>
      <c r="G415" s="5" t="n">
        <v>0</v>
      </c>
      <c r="H415" s="4" t="inlineStr">
        <is>
          <t>each</t>
        </is>
      </c>
      <c r="I415" s="5" t="n">
        <v>0</v>
      </c>
      <c r="J415" s="4" t="inlineStr">
        <is>
          <t>each</t>
        </is>
      </c>
      <c r="K415" s="6" t="n">
        <v>2.054583333333333</v>
      </c>
      <c r="L415" s="6" t="n">
        <v>2.054583333333333</v>
      </c>
      <c r="M415" s="7">
        <f>I415*K415</f>
        <v/>
      </c>
      <c r="N415" s="7">
        <f>I415*L415</f>
        <v/>
      </c>
      <c r="O415" s="7">
        <f>N415-M415</f>
        <v/>
      </c>
      <c r="P415" s="7" t="n">
        <v>2.054583333333333</v>
      </c>
      <c r="Q415" s="4" t="inlineStr">
        <is>
          <t>each</t>
        </is>
      </c>
      <c r="R415" s="4" t="inlineStr">
        <is>
          <t>24 case → 1 pack</t>
        </is>
      </c>
    </row>
    <row r="416">
      <c r="A416" s="4" t="inlineStr">
        <is>
          <t>Violas - Edible Flowers (20)</t>
        </is>
      </c>
      <c r="B416" s="4" t="inlineStr">
        <is>
          <t>PROD</t>
        </is>
      </c>
      <c r="C416" s="4" t="inlineStr"/>
      <c r="D416" s="4" t="inlineStr">
        <is>
          <t>North Arm Farms</t>
        </is>
      </c>
      <c r="E416" s="4" t="inlineStr">
        <is>
          <t>Physically counted 2026-08-01</t>
        </is>
      </c>
      <c r="F416" s="4" t="inlineStr">
        <is>
          <t>2026-08-01</t>
        </is>
      </c>
      <c r="G416" s="5" t="n">
        <v>0</v>
      </c>
      <c r="H416" s="4" t="inlineStr">
        <is>
          <t>each</t>
        </is>
      </c>
      <c r="I416" s="5" t="n">
        <v>0</v>
      </c>
      <c r="J416" s="4" t="inlineStr">
        <is>
          <t>each</t>
        </is>
      </c>
      <c r="K416" s="6" t="n">
        <v>0.3395</v>
      </c>
      <c r="L416" s="6" t="n">
        <v>0.3395</v>
      </c>
      <c r="M416" s="7">
        <f>I416*K416</f>
        <v/>
      </c>
      <c r="N416" s="7">
        <f>I416*L416</f>
        <v/>
      </c>
      <c r="O416" s="7">
        <f>N416-M416</f>
        <v/>
      </c>
      <c r="P416" s="7" t="n">
        <v>0.3395</v>
      </c>
      <c r="Q416" s="4" t="inlineStr">
        <is>
          <t>each</t>
        </is>
      </c>
      <c r="R416" s="4" t="inlineStr">
        <is>
          <t>20 case</t>
        </is>
      </c>
    </row>
    <row r="417">
      <c r="A417" s="4" t="inlineStr">
        <is>
          <t>Yellow potato</t>
        </is>
      </c>
      <c r="B417" s="4" t="inlineStr">
        <is>
          <t>PROD</t>
        </is>
      </c>
      <c r="C417" s="4" t="inlineStr">
        <is>
          <t>FRIDGE</t>
        </is>
      </c>
      <c r="D417" s="4" t="inlineStr">
        <is>
          <t>Sysco</t>
        </is>
      </c>
      <c r="E417" s="4" t="inlineStr">
        <is>
          <t>Physically counted 2026-08-01</t>
        </is>
      </c>
      <c r="F417" s="4" t="inlineStr">
        <is>
          <t>2026-08-01</t>
        </is>
      </c>
      <c r="G417" s="5" t="n">
        <v>6.000000000000001</v>
      </c>
      <c r="H417" s="4" t="inlineStr">
        <is>
          <t>case</t>
        </is>
      </c>
      <c r="I417" s="5" t="n">
        <v>136077.6</v>
      </c>
      <c r="J417" s="4" t="inlineStr">
        <is>
          <t>g</t>
        </is>
      </c>
      <c r="K417" s="6" t="n">
        <v>0.001629217446515812</v>
      </c>
      <c r="L417" s="6" t="n">
        <v>0.001629217446515812</v>
      </c>
      <c r="M417" s="7">
        <f>I417*K417</f>
        <v/>
      </c>
      <c r="N417" s="7">
        <f>I417*L417</f>
        <v/>
      </c>
      <c r="O417" s="7">
        <f>N417-M417</f>
        <v/>
      </c>
      <c r="P417" s="7" t="n">
        <v>1.629217446515812</v>
      </c>
      <c r="Q417" s="4" t="inlineStr">
        <is>
          <t>kg</t>
        </is>
      </c>
      <c r="R417" s="4" t="inlineStr">
        <is>
          <t>1 case → 22679.6 each</t>
        </is>
      </c>
    </row>
    <row r="418">
      <c r="A418" s="8" t="inlineStr">
        <is>
          <t>TOTAL</t>
        </is>
      </c>
      <c r="M418" s="9">
        <f>SUM(M5:M417)</f>
        <v/>
      </c>
      <c r="N418" s="9">
        <f>SUM(N5:N417)</f>
        <v/>
      </c>
      <c r="O418" s="9">
        <f>SUM(O5:O417)</f>
        <v/>
      </c>
    </row>
  </sheetData>
  <autoFilter ref="A4:R4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46" customWidth="1" min="1" max="1"/>
    <col width="10" customWidth="1" min="2" max="2"/>
    <col width="22" customWidth="1" min="3" max="3"/>
    <col width="24" customWidth="1" min="4" max="4"/>
    <col width="14" customWidth="1" min="5" max="5"/>
  </cols>
  <sheetData>
    <row r="1">
      <c r="A1" s="1" t="inlineStr">
        <is>
          <t>Summary — KITCHEN — 2026-08-01</t>
        </is>
      </c>
    </row>
    <row r="3">
      <c r="A3" s="10" t="inlineStr">
        <is>
          <t>By category</t>
        </is>
      </c>
    </row>
    <row r="4">
      <c r="A4" s="11" t="inlineStr">
        <is>
          <t>Category</t>
        </is>
      </c>
      <c r="B4" s="11" t="inlineStr">
        <is>
          <t>Lines</t>
        </is>
      </c>
      <c r="C4" s="11" t="inlineStr">
        <is>
          <t>Value at count</t>
        </is>
      </c>
      <c r="D4" s="11" t="inlineStr">
        <is>
          <t>Value at current prices</t>
        </is>
      </c>
      <c r="E4" s="11" t="inlineStr">
        <is>
          <t>Change</t>
        </is>
      </c>
    </row>
    <row r="5">
      <c r="A5" s="12" t="inlineStr">
        <is>
          <t>BREAD</t>
        </is>
      </c>
      <c r="B5" s="12">
        <f>COUNTIF(Valuation!$B$5:$B$417,$A5)</f>
        <v/>
      </c>
      <c r="C5" s="13">
        <f>SUMIF(Valuation!$B$5:$B$417,$A5,Valuation!$M$5:$M$417)</f>
        <v/>
      </c>
      <c r="D5" s="13">
        <f>SUMIF(Valuation!$B$5:$B$417,$A5,Valuation!$N$5:$N$417)</f>
        <v/>
      </c>
      <c r="E5" s="13">
        <f>D5-C5</f>
        <v/>
      </c>
    </row>
    <row r="6">
      <c r="A6" s="12" t="inlineStr">
        <is>
          <t>CHM</t>
        </is>
      </c>
      <c r="B6" s="12">
        <f>COUNTIF(Valuation!$B$5:$B$417,$A6)</f>
        <v/>
      </c>
      <c r="C6" s="13">
        <f>SUMIF(Valuation!$B$5:$B$417,$A6,Valuation!$M$5:$M$417)</f>
        <v/>
      </c>
      <c r="D6" s="13">
        <f>SUMIF(Valuation!$B$5:$B$417,$A6,Valuation!$N$5:$N$417)</f>
        <v/>
      </c>
      <c r="E6" s="13">
        <f>D6-C6</f>
        <v/>
      </c>
    </row>
    <row r="7">
      <c r="A7" s="12" t="inlineStr">
        <is>
          <t>DAIRY</t>
        </is>
      </c>
      <c r="B7" s="12">
        <f>COUNTIF(Valuation!$B$5:$B$417,$A7)</f>
        <v/>
      </c>
      <c r="C7" s="13">
        <f>SUMIF(Valuation!$B$5:$B$417,$A7,Valuation!$M$5:$M$417)</f>
        <v/>
      </c>
      <c r="D7" s="13">
        <f>SUMIF(Valuation!$B$5:$B$417,$A7,Valuation!$N$5:$N$417)</f>
        <v/>
      </c>
      <c r="E7" s="13">
        <f>D7-C7</f>
        <v/>
      </c>
    </row>
    <row r="8">
      <c r="A8" s="12" t="inlineStr">
        <is>
          <t>DRY</t>
        </is>
      </c>
      <c r="B8" s="12">
        <f>COUNTIF(Valuation!$B$5:$B$417,$A8)</f>
        <v/>
      </c>
      <c r="C8" s="13">
        <f>SUMIF(Valuation!$B$5:$B$417,$A8,Valuation!$M$5:$M$417)</f>
        <v/>
      </c>
      <c r="D8" s="13">
        <f>SUMIF(Valuation!$B$5:$B$417,$A8,Valuation!$N$5:$N$417)</f>
        <v/>
      </c>
      <c r="E8" s="13">
        <f>D8-C8</f>
        <v/>
      </c>
    </row>
    <row r="9">
      <c r="A9" s="12" t="inlineStr">
        <is>
          <t>FISH</t>
        </is>
      </c>
      <c r="B9" s="12">
        <f>COUNTIF(Valuation!$B$5:$B$417,$A9)</f>
        <v/>
      </c>
      <c r="C9" s="13">
        <f>SUMIF(Valuation!$B$5:$B$417,$A9,Valuation!$M$5:$M$417)</f>
        <v/>
      </c>
      <c r="D9" s="13">
        <f>SUMIF(Valuation!$B$5:$B$417,$A9,Valuation!$N$5:$N$417)</f>
        <v/>
      </c>
      <c r="E9" s="13">
        <f>D9-C9</f>
        <v/>
      </c>
    </row>
    <row r="10">
      <c r="A10" s="12" t="inlineStr">
        <is>
          <t>FROZEN</t>
        </is>
      </c>
      <c r="B10" s="12">
        <f>COUNTIF(Valuation!$B$5:$B$417,$A10)</f>
        <v/>
      </c>
      <c r="C10" s="13">
        <f>SUMIF(Valuation!$B$5:$B$417,$A10,Valuation!$M$5:$M$417)</f>
        <v/>
      </c>
      <c r="D10" s="13">
        <f>SUMIF(Valuation!$B$5:$B$417,$A10,Valuation!$N$5:$N$417)</f>
        <v/>
      </c>
      <c r="E10" s="13">
        <f>D10-C10</f>
        <v/>
      </c>
    </row>
    <row r="11">
      <c r="A11" s="12" t="inlineStr">
        <is>
          <t>MEAT</t>
        </is>
      </c>
      <c r="B11" s="12">
        <f>COUNTIF(Valuation!$B$5:$B$417,$A11)</f>
        <v/>
      </c>
      <c r="C11" s="13">
        <f>SUMIF(Valuation!$B$5:$B$417,$A11,Valuation!$M$5:$M$417)</f>
        <v/>
      </c>
      <c r="D11" s="13">
        <f>SUMIF(Valuation!$B$5:$B$417,$A11,Valuation!$N$5:$N$417)</f>
        <v/>
      </c>
      <c r="E11" s="13">
        <f>D11-C11</f>
        <v/>
      </c>
    </row>
    <row r="12">
      <c r="A12" s="12" t="inlineStr">
        <is>
          <t>PREPD</t>
        </is>
      </c>
      <c r="B12" s="12">
        <f>COUNTIF(Valuation!$B$5:$B$417,$A12)</f>
        <v/>
      </c>
      <c r="C12" s="13">
        <f>SUMIF(Valuation!$B$5:$B$417,$A12,Valuation!$M$5:$M$417)</f>
        <v/>
      </c>
      <c r="D12" s="13">
        <f>SUMIF(Valuation!$B$5:$B$417,$A12,Valuation!$N$5:$N$417)</f>
        <v/>
      </c>
      <c r="E12" s="13">
        <f>D12-C12</f>
        <v/>
      </c>
    </row>
    <row r="13">
      <c r="A13" s="12" t="inlineStr">
        <is>
          <t>PROD</t>
        </is>
      </c>
      <c r="B13" s="12">
        <f>COUNTIF(Valuation!$B$5:$B$417,$A13)</f>
        <v/>
      </c>
      <c r="C13" s="13">
        <f>SUMIF(Valuation!$B$5:$B$417,$A13,Valuation!$M$5:$M$417)</f>
        <v/>
      </c>
      <c r="D13" s="13">
        <f>SUMIF(Valuation!$B$5:$B$417,$A13,Valuation!$N$5:$N$417)</f>
        <v/>
      </c>
      <c r="E13" s="13">
        <f>D13-C13</f>
        <v/>
      </c>
    </row>
    <row r="14">
      <c r="A14" s="8" t="inlineStr">
        <is>
          <t>TOTAL</t>
        </is>
      </c>
      <c r="B14" s="8">
        <f>SUM(B5:B13)</f>
        <v/>
      </c>
      <c r="C14" s="9">
        <f>SUM(C5:C13)</f>
        <v/>
      </c>
      <c r="D14" s="9">
        <f>SUM(D5:D13)</f>
        <v/>
      </c>
      <c r="E14" s="9">
        <f>SUM(E5:E13)</f>
        <v/>
      </c>
    </row>
    <row r="17">
      <c r="A17" s="10" t="inlineStr">
        <is>
          <t>How each quantity was established</t>
        </is>
      </c>
    </row>
    <row r="18">
      <c r="A18" s="2" t="inlineStr">
        <is>
          <t>Each item takes its most recent physical count across the source sessions. A line that nobody counted in either session falls back to the quantity the system expected.</t>
        </is>
      </c>
    </row>
    <row r="19">
      <c r="A19" s="11" t="inlineStr">
        <is>
          <t>Quantity basis</t>
        </is>
      </c>
      <c r="B19" s="11" t="inlineStr">
        <is>
          <t>Lines</t>
        </is>
      </c>
      <c r="C19" s="11" t="inlineStr">
        <is>
          <t>Value at current prices</t>
        </is>
      </c>
      <c r="D19" s="11" t="inlineStr">
        <is>
          <t>% of total</t>
        </is>
      </c>
    </row>
    <row r="20">
      <c r="A20" s="12" t="inlineStr">
        <is>
          <t>Physically counted 2026-07-31</t>
        </is>
      </c>
      <c r="B20" s="12">
        <f>COUNTIF(Valuation!$E$5:$E$417,$A20)</f>
        <v/>
      </c>
      <c r="C20" s="13">
        <f>SUMIF(Valuation!$E$5:$E$417,$A20,Valuation!$N$5:$N$417)</f>
        <v/>
      </c>
      <c r="D20" s="14">
        <f>IF($C$23=0,0,C20/$C$23)</f>
        <v/>
      </c>
    </row>
    <row r="21">
      <c r="A21" s="12" t="inlineStr">
        <is>
          <t>Physically counted 2026-08-01</t>
        </is>
      </c>
      <c r="B21" s="12">
        <f>COUNTIF(Valuation!$E$5:$E$417,$A21)</f>
        <v/>
      </c>
      <c r="C21" s="13">
        <f>SUMIF(Valuation!$E$5:$E$417,$A21,Valuation!$N$5:$N$417)</f>
        <v/>
      </c>
      <c r="D21" s="14">
        <f>IF($C$23=0,0,C21/$C$23)</f>
        <v/>
      </c>
    </row>
    <row r="22">
      <c r="A22" s="12" t="inlineStr">
        <is>
          <t>Skipped — expected qty at 2026-08-01</t>
        </is>
      </c>
      <c r="B22" s="12">
        <f>COUNTIF(Valuation!$E$5:$E$417,$A22)</f>
        <v/>
      </c>
      <c r="C22" s="13">
        <f>SUMIF(Valuation!$E$5:$E$417,$A22,Valuation!$N$5:$N$417)</f>
        <v/>
      </c>
      <c r="D22" s="14">
        <f>IF($C$23=0,0,C22/$C$23)</f>
        <v/>
      </c>
    </row>
    <row r="23">
      <c r="A23" s="8" t="inlineStr">
        <is>
          <t>TOTAL</t>
        </is>
      </c>
      <c r="B23" s="8">
        <f>SUM(B20:B22)</f>
        <v/>
      </c>
      <c r="C23" s="9">
        <f>SUM(C20:C22)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Basis of preparation</t>
        </is>
      </c>
    </row>
    <row r="2">
      <c r="A2" s="15" t="inlineStr"/>
    </row>
    <row r="3" ht="26" customHeight="1">
      <c r="A3" s="15" t="inlineStr">
        <is>
          <t>Scope. Revenue centre KITCHEN, which is the default revenue centre — its stock is held on the inventory record itself rather than as a per-centre allocation. 413 items.</t>
        </is>
      </c>
    </row>
    <row r="4">
      <c r="A4" s="15" t="inlineStr"/>
    </row>
    <row r="5" ht="65" customHeight="1">
      <c r="A5" s="15" t="inlineStr">
        <is>
          <t>Quantities. The month-end was counted across two sessions: Prep count July 31 (2026-07-31) + Full Count End of Month (2026-08-01). Neither session on its own holds the whole position, because the items counted in one appear in the other as carried-forward lines. Each item is therefore shown at its MOST RECENT PHYSICAL count, and the Counted on column says which date that was (2026-07-31: 48 items, 2026-08-01: 365 items). 412 of 413 lines rest on a physical observation.</t>
        </is>
      </c>
    </row>
    <row r="6">
      <c r="A6" s="15" t="inlineStr"/>
    </row>
    <row r="7" ht="52" customHeight="1">
      <c r="A7" s="15" t="inlineStr">
        <is>
          <t>Quantities are shown both in the unit the counter worked in (Qty counted / Count unit) and in the item's base unit, which is what the system stores and what the valuation multiplies. Base quantities are the figures the count itself recorded; pack formats have been repaired since, and re-deriving a counter's entry through a corrected pack would answer a different question than the one they answered on the night.</t>
        </is>
      </c>
    </row>
    <row r="8">
      <c r="A8" s="15" t="inlineStr"/>
    </row>
    <row r="9" ht="65" customHeight="1">
      <c r="A9" s="15" t="inlineStr">
        <is>
          <t>Prices. The count froze a price against each line when it was finalized. Several of those prices were subsequently found to be wrong: when a supplier changed pack size, the new case price was divided by the item's old pack size, so the cost was wrong by the ratio between them. Those items have since been corrected. This workbook values the counted quantities at the CORRECTED prices and shows the price used at count time alongside, so the restatement of each line is visible. The difference is in the Change column and is subtotalled by category on the Summary sheet.</t>
        </is>
      </c>
    </row>
    <row r="10">
      <c r="A10" s="15" t="inlineStr"/>
    </row>
    <row r="11" ht="65" customHeight="1">
      <c r="A11" s="15" t="inlineStr">
        <is>
          <t>Comparatives. Counts before 30 June 2026 are not comparable with this one. Eighteen items were priced at zero in the 1 June count and eleven more at under $0.002 per base unit, and fourteen items have changed unit basis since (for example Yellow potato from each to grams), so their quantities do not line up either. The 1 June count reported $17,670; those same counted quantities at 30 June prices come to $26,942. Any trend drawn across that date reflects the repricing, not a change in stock.</t>
        </is>
      </c>
    </row>
    <row r="12">
      <c r="A12" s="15" t="inlineStr"/>
    </row>
    <row r="13" ht="14" customHeight="1">
      <c r="A13" s="15" t="inlineStr">
        <is>
          <t>Items subsequently deactivated remain in this valuation, because they were on hand at the count date.</t>
        </is>
      </c>
    </row>
    <row r="14">
      <c r="A14" s="15" t="inlineStr"/>
    </row>
    <row r="15" ht="26" customHeight="1">
      <c r="A15" s="15" t="inlineStr">
        <is>
          <t>Formulas. Value columns are formulas over the quantity and price columns, so correcting a price in this workbook updates the totals. Nothing is a pasted result.</t>
        </is>
      </c>
    </row>
    <row r="16">
      <c r="A16" s="15" t="inlineStr"/>
    </row>
    <row r="17" ht="39" customHeight="1">
      <c r="A17" s="15" t="inlineStr">
        <is>
          <t>Check figures. The value columns are live formulas, so Excel computes them when this file opens. They should total $24,945.95 at count prices and $24,784.62 at current prices, a change of $-161.32. If the totals differ from these figures, a price has been edited since this file was produced.</t>
        </is>
      </c>
    </row>
    <row r="18">
      <c r="A18" s="15" t="inlineStr"/>
    </row>
    <row r="19" ht="14" customHeight="1">
      <c r="A19" s="16" t="inlineStr">
        <is>
          <t>Source count session ids: 9ed49415-66c9-441d-a182-17bf941562fc, 33adf80a-0660-4114-b150-d010164afc51</t>
        </is>
      </c>
    </row>
    <row r="20" ht="14" customHeight="1">
      <c r="A20" s="16" t="inlineStr">
        <is>
          <t>Position as at: 2026-08-01</t>
        </is>
      </c>
    </row>
    <row r="21" ht="14" customHeight="1">
      <c r="A21" s="16" t="inlineStr">
        <is>
          <t>Prices as at: 2026-08-11 06:34:18 UTC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2026-08-11T06:35:18Z</dcterms:created>
  <dcterms:modified xsi:type="dcterms:W3CDTF">2026-08-11T06:35:19Z</dcterms:modified>
</cp:coreProperties>
</file>