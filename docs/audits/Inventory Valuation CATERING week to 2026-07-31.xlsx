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ition" sheetId="1" state="visible" r:id="rId1"/>
    <sheet name="Purchases" sheetId="2" state="visible" r:id="rId2"/>
    <sheet name="Needs review" sheetId="3" state="visible" r:id="rId3"/>
    <sheet name="Notes" sheetId="4" state="visible" r:id="rId4"/>
  </sheets>
  <definedNames>
    <definedName name="_xlnm._FilterDatabase" localSheetId="0" hidden="1">'Position'!$A$4:$M$20</definedName>
    <definedName name="_xlnm._FilterDatabase" localSheetId="1" hidden="1">'Purchases'!$A$3:$K$26</definedName>
  </definedNames>
  <calcPr calcId="124519" fullCalcOnLoad="1"/>
</workbook>
</file>

<file path=xl/styles.xml><?xml version="1.0" encoding="utf-8"?>
<styleSheet xmlns="http://schemas.openxmlformats.org/spreadsheetml/2006/main">
  <numFmts count="3">
    <numFmt numFmtId="164" formatCode="#,##0.###"/>
    <numFmt numFmtId="165" formatCode="$#,##0.00000;($#,##0.00000);-"/>
    <numFmt numFmtId="166" formatCode="$#,##0.00;($#,##0.00);-"/>
  </numFmts>
  <fonts count="6">
    <font>
      <name val="Calibri"/>
      <family val="2"/>
      <color theme="1"/>
      <sz val="11"/>
      <scheme val="minor"/>
    </font>
    <font>
      <name val="Arial"/>
      <b val="1"/>
      <sz val="14"/>
    </font>
    <font>
      <name val="Arial"/>
      <i val="1"/>
      <color rgb="00555555"/>
      <sz val="9"/>
    </font>
    <font>
      <name val="Arial"/>
      <b val="1"/>
      <color rgb="00FFFFFF"/>
      <sz val="10"/>
    </font>
    <font>
      <name val="Arial"/>
      <sz val="10"/>
    </font>
    <font>
      <name val="Arial"/>
      <b val="1"/>
      <sz val="10"/>
    </font>
  </fonts>
  <fills count="4">
    <fill>
      <patternFill/>
    </fill>
    <fill>
      <patternFill patternType="gray125"/>
    </fill>
    <fill>
      <patternFill patternType="solid">
        <fgColor rgb="001F2937"/>
      </patternFill>
    </fill>
    <fill>
      <patternFill patternType="solid">
        <fgColor rgb="00FEF3C7"/>
      </patternFill>
    </fill>
  </fills>
  <borders count="3">
    <border>
      <left/>
      <right/>
      <top/>
      <bottom/>
      <diagonal/>
    </border>
    <border>
      <left style="thin">
        <color rgb="00D4D4D8"/>
      </left>
      <right style="thin">
        <color rgb="00D4D4D8"/>
      </right>
      <top style="thin">
        <color rgb="00D4D4D8"/>
      </top>
      <bottom style="thin">
        <color rgb="00D4D4D8"/>
      </bottom>
    </border>
    <border>
      <top style="medium">
        <color rgb="001F2937"/>
      </top>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pivotButton="0" quotePrefix="0" xfId="0"/>
    <xf numFmtId="164" fontId="4" fillId="0" borderId="1" pivotButton="0" quotePrefix="0" xfId="0"/>
    <xf numFmtId="165" fontId="4" fillId="0" borderId="1" pivotButton="0" quotePrefix="0" xfId="0"/>
    <xf numFmtId="166" fontId="4" fillId="0" borderId="1" pivotButton="0" quotePrefix="0" xfId="0"/>
    <xf numFmtId="0" fontId="4" fillId="3" borderId="1" pivotButton="0" quotePrefix="0" xfId="0"/>
    <xf numFmtId="0" fontId="5" fillId="0" borderId="2" pivotButton="0" quotePrefix="0" xfId="0"/>
    <xf numFmtId="166" fontId="5" fillId="0" borderId="2" pivotButton="0" quotePrefix="0" xfId="0"/>
    <xf numFmtId="0" fontId="5" fillId="0" borderId="0" pivotButton="0" quotePrefix="0" xfId="0"/>
    <xf numFmtId="166" fontId="5" fillId="3" borderId="0" pivotButton="0" quotePrefix="0" xfId="0"/>
    <xf numFmtId="164" fontId="4" fillId="3" borderId="1" pivotButton="0" quotePrefix="0" xfId="0"/>
    <xf numFmtId="166" fontId="4" fillId="3" borderId="1" pivotButton="0" quotePrefix="0" xfId="0"/>
    <xf numFmtId="0" fontId="5"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pane ySplit="4" topLeftCell="A5" activePane="bottomLeft" state="frozen"/>
      <selection pane="bottomLeft" activeCell="A1" sqref="A1"/>
    </sheetView>
  </sheetViews>
  <sheetFormatPr baseColWidth="8" defaultRowHeight="15"/>
  <cols>
    <col width="36" customWidth="1" min="1" max="1"/>
    <col width="10" customWidth="1" min="2" max="2"/>
    <col width="20" customWidth="1" min="3" max="3"/>
    <col width="13" customWidth="1" min="4" max="4"/>
    <col width="11" customWidth="1" min="5" max="5"/>
    <col width="11" customWidth="1" min="6" max="6"/>
    <col width="15" customWidth="1" min="7" max="7"/>
    <col width="12" customWidth="1" min="8" max="8"/>
    <col width="10" customWidth="1" min="9" max="9"/>
    <col width="13" customWidth="1" min="10" max="10"/>
    <col width="13" customWidth="1" min="11" max="11"/>
    <col width="12" customWidth="1" min="12" max="12"/>
    <col width="18" customWidth="1" min="13" max="13"/>
  </cols>
  <sheetData>
    <row r="1">
      <c r="A1" s="1" t="inlineStr">
        <is>
          <t>CATERING inventory — as at 2026-07-31</t>
        </is>
      </c>
    </row>
    <row r="2">
      <c r="A2" s="2" t="inlineStr">
        <is>
          <t>Basis: purchases attributed to CATERING from 2026-07-25 to 2026-07-31, treated as the closing position. Valued at corrected prices as at 2026-08-11. This is NOT a physical count — see Notes.</t>
        </is>
      </c>
    </row>
    <row r="4" ht="30" customHeight="1">
      <c r="A4" s="3" t="inlineStr">
        <is>
          <t>Item</t>
        </is>
      </c>
      <c r="B4" s="3" t="inlineStr">
        <is>
          <t>Category</t>
        </is>
      </c>
      <c r="C4" s="3" t="inlineStr">
        <is>
          <t>Supplier</t>
        </is>
      </c>
      <c r="D4" s="3" t="inlineStr">
        <is>
          <t>Last invoice</t>
        </is>
      </c>
      <c r="E4" s="3" t="inlineStr">
        <is>
          <t>Qty</t>
        </is>
      </c>
      <c r="F4" s="3" t="inlineStr">
        <is>
          <t>Unit</t>
        </is>
      </c>
      <c r="G4" s="3" t="inlineStr">
        <is>
          <t>Price ($/base)</t>
        </is>
      </c>
      <c r="H4" s="3" t="inlineStr">
        <is>
          <t>Qty (base)</t>
        </is>
      </c>
      <c r="I4" s="3" t="inlineStr">
        <is>
          <t>Base unit</t>
        </is>
      </c>
      <c r="J4" s="3" t="inlineStr">
        <is>
          <t>Value</t>
        </is>
      </c>
      <c r="K4" s="3" t="inlineStr">
        <is>
          <t>Invoiced</t>
        </is>
      </c>
      <c r="L4" s="3" t="inlineStr">
        <is>
          <t>Variance</t>
        </is>
      </c>
      <c r="M4" s="3" t="inlineStr">
        <is>
          <t>Price under review</t>
        </is>
      </c>
    </row>
    <row r="5">
      <c r="A5" s="4" t="inlineStr">
        <is>
          <t>Burger Bun Sliced</t>
        </is>
      </c>
      <c r="B5" s="4" t="inlineStr">
        <is>
          <t>BREAD</t>
        </is>
      </c>
      <c r="C5" s="4" t="inlineStr">
        <is>
          <t>Sysco Canada, Inc. - Vancouver</t>
        </is>
      </c>
      <c r="D5" s="4" t="inlineStr">
        <is>
          <t>2026-07-27</t>
        </is>
      </c>
      <c r="E5" s="5" t="n">
        <v>2</v>
      </c>
      <c r="F5" s="4" t="inlineStr">
        <is>
          <t>case</t>
        </is>
      </c>
      <c r="G5" s="6" t="n">
        <v>0.8113888888888889</v>
      </c>
      <c r="H5" s="5" t="n">
        <v>144</v>
      </c>
      <c r="I5" s="4" t="inlineStr">
        <is>
          <t>each</t>
        </is>
      </c>
      <c r="J5" s="7">
        <f>H5*G5</f>
        <v/>
      </c>
      <c r="K5" s="7" t="n">
        <v>116.84</v>
      </c>
      <c r="L5" s="7">
        <f>J5-K5</f>
        <v/>
      </c>
      <c r="M5" s="4" t="inlineStr"/>
    </row>
    <row r="6">
      <c r="A6" s="4" t="inlineStr">
        <is>
          <t>Cheddar smoked</t>
        </is>
      </c>
      <c r="B6" s="4" t="inlineStr">
        <is>
          <t>DAIRY</t>
        </is>
      </c>
      <c r="C6" s="4" t="inlineStr">
        <is>
          <t>Sysco Canada, Inc. - Vancouver</t>
        </is>
      </c>
      <c r="D6" s="4" t="inlineStr">
        <is>
          <t>2026-07-27</t>
        </is>
      </c>
      <c r="E6" s="5" t="n">
        <v>6.59</v>
      </c>
      <c r="F6" s="4" t="inlineStr">
        <is>
          <t>kg</t>
        </is>
      </c>
      <c r="G6" s="6" t="n">
        <v>0.03423</v>
      </c>
      <c r="H6" s="5" t="n">
        <v>6590</v>
      </c>
      <c r="I6" s="4" t="inlineStr">
        <is>
          <t>g</t>
        </is>
      </c>
      <c r="J6" s="7">
        <f>H6*G6</f>
        <v/>
      </c>
      <c r="K6" s="7" t="n">
        <v>225.58</v>
      </c>
      <c r="L6" s="7">
        <f>J6-K6</f>
        <v/>
      </c>
      <c r="M6" s="8" t="inlineStr">
        <is>
          <t>Yes — provisional</t>
        </is>
      </c>
    </row>
    <row r="7">
      <c r="A7" s="4" t="inlineStr">
        <is>
          <t>coconut milk</t>
        </is>
      </c>
      <c r="B7" s="4" t="inlineStr">
        <is>
          <t>DRY</t>
        </is>
      </c>
      <c r="C7" s="4" t="inlineStr">
        <is>
          <t>Sysco Canada, Inc. - Vancouver</t>
        </is>
      </c>
      <c r="D7" s="4" t="inlineStr">
        <is>
          <t>2026-07-27</t>
        </is>
      </c>
      <c r="E7" s="5" t="n">
        <v>1</v>
      </c>
      <c r="F7" s="4" t="inlineStr">
        <is>
          <t>case</t>
        </is>
      </c>
      <c r="G7" s="6" t="n">
        <v>0.007033321600375455</v>
      </c>
      <c r="H7" s="5" t="n">
        <v>17046</v>
      </c>
      <c r="I7" s="4" t="inlineStr">
        <is>
          <t>ml</t>
        </is>
      </c>
      <c r="J7" s="7">
        <f>H7*G7</f>
        <v/>
      </c>
      <c r="K7" s="7" t="n">
        <v>119.89</v>
      </c>
      <c r="L7" s="7">
        <f>J7-K7</f>
        <v/>
      </c>
      <c r="M7" s="4" t="inlineStr"/>
    </row>
    <row r="8">
      <c r="A8" s="4" t="inlineStr">
        <is>
          <t>Figs Dried</t>
        </is>
      </c>
      <c r="B8" s="4" t="inlineStr">
        <is>
          <t>DRY</t>
        </is>
      </c>
      <c r="C8" s="4" t="inlineStr">
        <is>
          <t>Snow Cap Enterprises Ltd.</t>
        </is>
      </c>
      <c r="D8" s="4" t="inlineStr">
        <is>
          <t>2026-07-30</t>
        </is>
      </c>
      <c r="E8" s="5" t="n">
        <v>1</v>
      </c>
      <c r="F8" s="4" t="inlineStr">
        <is>
          <t>each</t>
        </is>
      </c>
      <c r="G8" s="6" t="n">
        <v>0.01810661764705883</v>
      </c>
      <c r="H8" s="5" t="n">
        <v>13600</v>
      </c>
      <c r="I8" s="4" t="inlineStr">
        <is>
          <t>g</t>
        </is>
      </c>
      <c r="J8" s="7">
        <f>H8*G8</f>
        <v/>
      </c>
      <c r="K8" s="7" t="n">
        <v>246.25</v>
      </c>
      <c r="L8" s="7">
        <f>J8-K8</f>
        <v/>
      </c>
      <c r="M8" s="4" t="inlineStr"/>
    </row>
    <row r="9">
      <c r="A9" s="4" t="inlineStr">
        <is>
          <t>Salmon</t>
        </is>
      </c>
      <c r="B9" s="4" t="inlineStr">
        <is>
          <t>FISH</t>
        </is>
      </c>
      <c r="C9" s="4" t="inlineStr">
        <is>
          <t>INTERCITY PACKERS LTD</t>
        </is>
      </c>
      <c r="D9" s="4" t="inlineStr">
        <is>
          <t>2026-07-31</t>
        </is>
      </c>
      <c r="E9" s="5" t="n">
        <v>41.75</v>
      </c>
      <c r="F9" s="4" t="inlineStr">
        <is>
          <t>lb</t>
        </is>
      </c>
      <c r="G9" s="6" t="n">
        <v>0.04387202596165717</v>
      </c>
      <c r="H9" s="5" t="n">
        <v>18937.466</v>
      </c>
      <c r="I9" s="4" t="inlineStr">
        <is>
          <t>g</t>
        </is>
      </c>
      <c r="J9" s="7">
        <f>H9*G9</f>
        <v/>
      </c>
      <c r="K9" s="7" t="n">
        <v>914.33</v>
      </c>
      <c r="L9" s="7">
        <f>J9-K9</f>
        <v/>
      </c>
      <c r="M9" s="4" t="inlineStr"/>
    </row>
    <row r="10">
      <c r="A10" s="4" t="inlineStr">
        <is>
          <t>Chx Thigh BL SL Fresh 3x3.75kg avg — LEGENDS (case weights: 8.300, 9.860 KG)</t>
        </is>
      </c>
      <c r="B10" s="4" t="inlineStr">
        <is>
          <t>MEAT</t>
        </is>
      </c>
      <c r="C10" s="4" t="inlineStr">
        <is>
          <t>Acecard Food Group LTD (Legends Haul)</t>
        </is>
      </c>
      <c r="D10" s="4" t="inlineStr">
        <is>
          <t>2026-07-31</t>
        </is>
      </c>
      <c r="E10" s="5" t="n">
        <v>28.04</v>
      </c>
      <c r="F10" s="4" t="inlineStr">
        <is>
          <t>kg</t>
        </is>
      </c>
      <c r="G10" s="6" t="n">
        <v>0.0163</v>
      </c>
      <c r="H10" s="5" t="n">
        <v>28040</v>
      </c>
      <c r="I10" s="4" t="inlineStr">
        <is>
          <t>g</t>
        </is>
      </c>
      <c r="J10" s="7">
        <f>H10*G10</f>
        <v/>
      </c>
      <c r="K10" s="7" t="n">
        <v>457.05</v>
      </c>
      <c r="L10" s="7">
        <f>J10-K10</f>
        <v/>
      </c>
      <c r="M10" s="4" t="inlineStr"/>
    </row>
    <row r="11">
      <c r="A11" s="4" t="inlineStr">
        <is>
          <t>Pork Back Ribs</t>
        </is>
      </c>
      <c r="B11" s="4" t="inlineStr">
        <is>
          <t>MEAT</t>
        </is>
      </c>
      <c r="C11" s="4" t="inlineStr">
        <is>
          <t>Acecard Food Group LTD</t>
        </is>
      </c>
      <c r="D11" s="4" t="inlineStr">
        <is>
          <t>2026-07-27</t>
        </is>
      </c>
      <c r="E11" s="5" t="n">
        <v>21.5</v>
      </c>
      <c r="F11" s="4" t="inlineStr">
        <is>
          <t>kg</t>
        </is>
      </c>
      <c r="G11" s="6" t="n">
        <v>0.0159</v>
      </c>
      <c r="H11" s="5" t="n">
        <v>21500</v>
      </c>
      <c r="I11" s="4" t="inlineStr">
        <is>
          <t>g</t>
        </is>
      </c>
      <c r="J11" s="7">
        <f>H11*G11</f>
        <v/>
      </c>
      <c r="K11" s="7" t="n">
        <v>341.85</v>
      </c>
      <c r="L11" s="7">
        <f>J11-K11</f>
        <v/>
      </c>
      <c r="M11" s="4" t="inlineStr"/>
    </row>
    <row r="12">
      <c r="A12" s="4" t="inlineStr">
        <is>
          <t>pork belly</t>
        </is>
      </c>
      <c r="B12" s="4" t="inlineStr">
        <is>
          <t>MEAT</t>
        </is>
      </c>
      <c r="C12" s="4" t="inlineStr">
        <is>
          <t>Acecard Food Group LTD</t>
        </is>
      </c>
      <c r="D12" s="4" t="inlineStr">
        <is>
          <t>2026-07-27</t>
        </is>
      </c>
      <c r="E12" s="5" t="n">
        <v>16.35</v>
      </c>
      <c r="F12" s="4" t="inlineStr">
        <is>
          <t>kg</t>
        </is>
      </c>
      <c r="G12" s="6" t="n">
        <v>0.01253</v>
      </c>
      <c r="H12" s="5" t="n">
        <v>16350</v>
      </c>
      <c r="I12" s="4" t="inlineStr">
        <is>
          <t>g</t>
        </is>
      </c>
      <c r="J12" s="7">
        <f>H12*G12</f>
        <v/>
      </c>
      <c r="K12" s="7" t="n">
        <v>204.38</v>
      </c>
      <c r="L12" s="7">
        <f>J12-K12</f>
        <v/>
      </c>
      <c r="M12" s="4" t="inlineStr"/>
    </row>
    <row r="13">
      <c r="A13" s="4" t="inlineStr">
        <is>
          <t>kennebec potato</t>
        </is>
      </c>
      <c r="B13" s="4" t="inlineStr">
        <is>
          <t>PROD</t>
        </is>
      </c>
      <c r="C13" s="4" t="inlineStr">
        <is>
          <t>Sysco Canada, Inc. - Vancouver</t>
        </is>
      </c>
      <c r="D13" s="4" t="inlineStr">
        <is>
          <t>2026-07-27</t>
        </is>
      </c>
      <c r="E13" s="5" t="n">
        <v>1</v>
      </c>
      <c r="F13" s="4" t="inlineStr">
        <is>
          <t>case</t>
        </is>
      </c>
      <c r="G13" s="6" t="n">
        <v>0.001545441718548828</v>
      </c>
      <c r="H13" s="5" t="n">
        <v>22679.6</v>
      </c>
      <c r="I13" s="4" t="inlineStr">
        <is>
          <t>g</t>
        </is>
      </c>
      <c r="J13" s="7">
        <f>H13*G13</f>
        <v/>
      </c>
      <c r="K13" s="7" t="n">
        <v>35.05</v>
      </c>
      <c r="L13" s="7">
        <f>J13-K13</f>
        <v/>
      </c>
      <c r="M13" s="4" t="inlineStr"/>
    </row>
    <row r="14">
      <c r="A14" s="4" t="inlineStr">
        <is>
          <t>Microgreens - Amaranth Red Garnet Living Tray</t>
        </is>
      </c>
      <c r="B14" s="4" t="inlineStr">
        <is>
          <t>PROD</t>
        </is>
      </c>
      <c r="C14" s="4" t="inlineStr">
        <is>
          <t>The Brew Creek Farm</t>
        </is>
      </c>
      <c r="D14" s="4" t="inlineStr">
        <is>
          <t>2026-07-28</t>
        </is>
      </c>
      <c r="E14" s="5" t="n">
        <v>1</v>
      </c>
      <c r="F14" s="4" t="inlineStr">
        <is>
          <t>each</t>
        </is>
      </c>
      <c r="G14" s="6" t="n">
        <v>32</v>
      </c>
      <c r="H14" s="5" t="n">
        <v>1</v>
      </c>
      <c r="I14" s="4" t="inlineStr">
        <is>
          <t>each</t>
        </is>
      </c>
      <c r="J14" s="7">
        <f>H14*G14</f>
        <v/>
      </c>
      <c r="K14" s="7" t="n">
        <v>32</v>
      </c>
      <c r="L14" s="7">
        <f>J14-K14</f>
        <v/>
      </c>
      <c r="M14" s="4" t="inlineStr"/>
    </row>
    <row r="15">
      <c r="A15" s="4" t="inlineStr">
        <is>
          <t>Mushroom Portobello</t>
        </is>
      </c>
      <c r="B15" s="4" t="inlineStr">
        <is>
          <t>PROD</t>
        </is>
      </c>
      <c r="C15" s="4" t="inlineStr">
        <is>
          <t>Sysco Canada, Inc. - Vancouver</t>
        </is>
      </c>
      <c r="D15" s="4" t="inlineStr">
        <is>
          <t>2026-07-27</t>
        </is>
      </c>
      <c r="E15" s="5" t="n">
        <v>2</v>
      </c>
      <c r="F15" s="4" t="inlineStr">
        <is>
          <t>case</t>
        </is>
      </c>
      <c r="G15" s="6" t="n">
        <v>0.01586447732764246</v>
      </c>
      <c r="H15" s="5" t="n">
        <v>4535.92</v>
      </c>
      <c r="I15" s="4" t="inlineStr">
        <is>
          <t>g</t>
        </is>
      </c>
      <c r="J15" s="7">
        <f>H15*G15</f>
        <v/>
      </c>
      <c r="K15" s="7" t="n">
        <v>71.95999999999999</v>
      </c>
      <c r="L15" s="7">
        <f>J15-K15</f>
        <v/>
      </c>
      <c r="M15" s="4" t="inlineStr"/>
    </row>
    <row r="16">
      <c r="A16" s="4" t="inlineStr">
        <is>
          <t>Mushroom shiitake</t>
        </is>
      </c>
      <c r="B16" s="4" t="inlineStr">
        <is>
          <t>PROD</t>
        </is>
      </c>
      <c r="C16" s="4" t="inlineStr">
        <is>
          <t>Sysco Canada, Inc. - Vancouver</t>
        </is>
      </c>
      <c r="D16" s="4" t="inlineStr">
        <is>
          <t>2026-07-27</t>
        </is>
      </c>
      <c r="E16" s="5" t="n">
        <v>2</v>
      </c>
      <c r="F16" s="4" t="inlineStr">
        <is>
          <t>case</t>
        </is>
      </c>
      <c r="G16" s="6" t="n">
        <v>0.03190091536005926</v>
      </c>
      <c r="H16" s="5" t="n">
        <v>2721.552</v>
      </c>
      <c r="I16" s="4" t="inlineStr">
        <is>
          <t>g</t>
        </is>
      </c>
      <c r="J16" s="7">
        <f>H16*G16</f>
        <v/>
      </c>
      <c r="K16" s="7" t="n">
        <v>86.81999999999999</v>
      </c>
      <c r="L16" s="7">
        <f>J16-K16</f>
        <v/>
      </c>
      <c r="M16" s="4" t="inlineStr"/>
    </row>
    <row r="17">
      <c r="A17" s="4" t="inlineStr">
        <is>
          <t>POTATO YELLOW YUKON GLD FRSH</t>
        </is>
      </c>
      <c r="B17" s="4" t="inlineStr">
        <is>
          <t>PROD</t>
        </is>
      </c>
      <c r="C17" s="4" t="inlineStr">
        <is>
          <t>Sysco Canada, Inc. - Vancouver</t>
        </is>
      </c>
      <c r="D17" s="4" t="inlineStr">
        <is>
          <t>2026-07-27</t>
        </is>
      </c>
      <c r="E17" s="5" t="n">
        <v>1</v>
      </c>
      <c r="F17" s="4" t="inlineStr">
        <is>
          <t>case</t>
        </is>
      </c>
      <c r="G17" s="6" t="n">
        <v>0.002010617471207605</v>
      </c>
      <c r="H17" s="5" t="n">
        <v>22679.6</v>
      </c>
      <c r="I17" s="4" t="inlineStr">
        <is>
          <t>g</t>
        </is>
      </c>
      <c r="J17" s="7">
        <f>H17*G17</f>
        <v/>
      </c>
      <c r="K17" s="7" t="n">
        <v>45.6</v>
      </c>
      <c r="L17" s="7">
        <f>J17-K17</f>
        <v/>
      </c>
      <c r="M17" s="4" t="inlineStr"/>
    </row>
    <row r="18">
      <c r="A18" s="4" t="inlineStr">
        <is>
          <t>Salad Mix O/S</t>
        </is>
      </c>
      <c r="B18" s="4" t="inlineStr">
        <is>
          <t>PROD</t>
        </is>
      </c>
      <c r="C18" s="4" t="inlineStr">
        <is>
          <t>North Arm Farm Inc.</t>
        </is>
      </c>
      <c r="D18" s="4" t="inlineStr">
        <is>
          <t>2026-07-30</t>
        </is>
      </c>
      <c r="E18" s="5" t="n">
        <v>5</v>
      </c>
      <c r="F18" s="4" t="inlineStr">
        <is>
          <t>lb</t>
        </is>
      </c>
      <c r="G18" s="6" t="n">
        <v>0.05068431542002504</v>
      </c>
      <c r="H18" s="5" t="n">
        <v>2267.96</v>
      </c>
      <c r="I18" s="4" t="inlineStr">
        <is>
          <t>g</t>
        </is>
      </c>
      <c r="J18" s="7">
        <f>H18*G18</f>
        <v/>
      </c>
      <c r="K18" s="7" t="n">
        <v>114.95</v>
      </c>
      <c r="L18" s="7">
        <f>J18-K18</f>
        <v/>
      </c>
      <c r="M18" s="8" t="inlineStr">
        <is>
          <t>Yes — provisional</t>
        </is>
      </c>
    </row>
    <row r="19">
      <c r="A19" s="4" t="inlineStr">
        <is>
          <t>Shiso Leaves - Purple</t>
        </is>
      </c>
      <c r="B19" s="4" t="inlineStr">
        <is>
          <t>PROD</t>
        </is>
      </c>
      <c r="C19" s="4" t="inlineStr">
        <is>
          <t>The Brew Creek Farm</t>
        </is>
      </c>
      <c r="D19" s="4" t="inlineStr">
        <is>
          <t>2026-07-28</t>
        </is>
      </c>
      <c r="E19" s="5" t="n">
        <v>2</v>
      </c>
      <c r="F19" s="4" t="inlineStr">
        <is>
          <t>each</t>
        </is>
      </c>
      <c r="G19" s="6" t="n">
        <v>11</v>
      </c>
      <c r="H19" s="5" t="n">
        <v>2</v>
      </c>
      <c r="I19" s="4" t="inlineStr">
        <is>
          <t>each</t>
        </is>
      </c>
      <c r="J19" s="7">
        <f>H19*G19</f>
        <v/>
      </c>
      <c r="K19" s="7" t="n">
        <v>22</v>
      </c>
      <c r="L19" s="7">
        <f>J19-K19</f>
        <v/>
      </c>
      <c r="M19" s="4" t="inlineStr"/>
    </row>
    <row r="20">
      <c r="A20" s="4" t="inlineStr">
        <is>
          <t>Tomatillos, Toma Verde — lb *** new crop - nimited supply - more next week ***</t>
        </is>
      </c>
      <c r="B20" s="4" t="inlineStr">
        <is>
          <t>PROD</t>
        </is>
      </c>
      <c r="C20" s="4" t="inlineStr">
        <is>
          <t>North Arm Farm Inc.</t>
        </is>
      </c>
      <c r="D20" s="4" t="inlineStr">
        <is>
          <t>2026-07-30</t>
        </is>
      </c>
      <c r="E20" s="5" t="n">
        <v>20</v>
      </c>
      <c r="F20" s="4" t="inlineStr">
        <is>
          <t>lb</t>
        </is>
      </c>
      <c r="G20" s="6" t="n">
        <v>0.007694139226441384</v>
      </c>
      <c r="H20" s="5" t="n">
        <v>9071.84</v>
      </c>
      <c r="I20" s="4" t="inlineStr">
        <is>
          <t>g</t>
        </is>
      </c>
      <c r="J20" s="7">
        <f>H20*G20</f>
        <v/>
      </c>
      <c r="K20" s="7" t="n">
        <v>69.8</v>
      </c>
      <c r="L20" s="7">
        <f>J20-K20</f>
        <v/>
      </c>
      <c r="M20" s="4" t="inlineStr"/>
    </row>
    <row r="21">
      <c r="A21" s="9" t="inlineStr">
        <is>
          <t>TOTAL</t>
        </is>
      </c>
      <c r="J21" s="10">
        <f>SUM(J5:J20)</f>
        <v/>
      </c>
      <c r="K21" s="10">
        <f>SUM(K5:K20)</f>
        <v/>
      </c>
      <c r="L21" s="10">
        <f>SUM(L5:L20)</f>
        <v/>
      </c>
    </row>
    <row r="23">
      <c r="A23" s="11" t="inlineStr">
        <is>
          <t>Excluded — lines that could not be reconciled (see Needs review)</t>
        </is>
      </c>
      <c r="J23" s="12" t="n">
        <v>1803.173073537781</v>
      </c>
    </row>
  </sheetData>
  <autoFilter ref="A4:M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13" customWidth="1" min="1" max="1"/>
    <col width="22" customWidth="1" min="2" max="2"/>
    <col width="32" customWidth="1" min="3" max="3"/>
    <col width="38" customWidth="1" min="4" max="4"/>
    <col width="16" customWidth="1" min="5" max="5"/>
    <col width="11" customWidth="1" min="6" max="6"/>
    <col width="11" customWidth="1" min="7" max="7"/>
    <col width="12" customWidth="1" min="8" max="8"/>
    <col width="12" customWidth="1" min="9" max="9"/>
    <col width="12" customWidth="1" min="10" max="10"/>
    <col width="52" customWidth="1" min="11" max="11"/>
  </cols>
  <sheetData>
    <row r="1">
      <c r="A1" s="1" t="inlineStr">
        <is>
          <t>Invoice lines behind the position</t>
        </is>
      </c>
    </row>
    <row r="3" ht="30" customHeight="1">
      <c r="A3" s="3" t="inlineStr">
        <is>
          <t>Invoice date</t>
        </is>
      </c>
      <c r="B3" s="3" t="inlineStr">
        <is>
          <t>Supplier</t>
        </is>
      </c>
      <c r="C3" s="3" t="inlineStr">
        <is>
          <t>Item</t>
        </is>
      </c>
      <c r="D3" s="3" t="inlineStr">
        <is>
          <t>As printed on the invoice</t>
        </is>
      </c>
      <c r="E3" s="3" t="inlineStr">
        <is>
          <t>Pack</t>
        </is>
      </c>
      <c r="F3" s="3" t="inlineStr">
        <is>
          <t>Qty</t>
        </is>
      </c>
      <c r="G3" s="3" t="inlineStr">
        <is>
          <t>Unit</t>
        </is>
      </c>
      <c r="H3" s="3" t="inlineStr">
        <is>
          <t>Valued</t>
        </is>
      </c>
      <c r="I3" s="3" t="inlineStr">
        <is>
          <t>Invoiced</t>
        </is>
      </c>
      <c r="J3" s="3" t="inlineStr">
        <is>
          <t>Reconciles</t>
        </is>
      </c>
      <c r="K3" s="3" t="inlineStr">
        <is>
          <t>Issue</t>
        </is>
      </c>
    </row>
    <row r="4">
      <c r="A4" s="4" t="inlineStr">
        <is>
          <t>2026-07-27</t>
        </is>
      </c>
      <c r="B4" s="4" t="inlineStr">
        <is>
          <t>Sysco Canada, Inc. - Vancouver</t>
        </is>
      </c>
      <c r="C4" s="4" t="inlineStr">
        <is>
          <t>Burger Bun Sliced</t>
        </is>
      </c>
      <c r="D4" s="4" t="inlineStr">
        <is>
          <t>FROZEN HAMBURGER BRIOCHE SLI</t>
        </is>
      </c>
      <c r="E4" s="4" t="inlineStr">
        <is>
          <t>1 × 72 each</t>
        </is>
      </c>
      <c r="F4" s="5" t="n">
        <v>2</v>
      </c>
      <c r="G4" s="4" t="inlineStr">
        <is>
          <t>case</t>
        </is>
      </c>
      <c r="H4" s="7" t="n">
        <v>116.84</v>
      </c>
      <c r="I4" s="7" t="n">
        <v>116.84</v>
      </c>
      <c r="J4" s="4" t="inlineStr">
        <is>
          <t>Yes</t>
        </is>
      </c>
      <c r="K4" s="4" t="inlineStr"/>
    </row>
    <row r="5">
      <c r="A5" s="4" t="inlineStr">
        <is>
          <t>2026-07-27</t>
        </is>
      </c>
      <c r="B5" s="4" t="inlineStr">
        <is>
          <t>Sysco Canada, Inc. - Vancouver</t>
        </is>
      </c>
      <c r="C5" s="4" t="inlineStr">
        <is>
          <t>Cheddar smoked</t>
        </is>
      </c>
      <c r="D5" s="4" t="inlineStr">
        <is>
          <t>CHEESE CHEDDAR SMK</t>
        </is>
      </c>
      <c r="E5" s="4" t="inlineStr">
        <is>
          <t>1 × 3.4 kg</t>
        </is>
      </c>
      <c r="F5" s="5" t="n">
        <v>6.59</v>
      </c>
      <c r="G5" s="4" t="inlineStr">
        <is>
          <t>kg</t>
        </is>
      </c>
      <c r="H5" s="7" t="n">
        <v>225.5757</v>
      </c>
      <c r="I5" s="7" t="n">
        <v>225.58</v>
      </c>
      <c r="J5" s="4" t="inlineStr">
        <is>
          <t>Yes</t>
        </is>
      </c>
      <c r="K5" s="4" t="inlineStr"/>
    </row>
    <row r="6">
      <c r="A6" s="8" t="inlineStr">
        <is>
          <t>2026-07-27</t>
        </is>
      </c>
      <c r="B6" s="8" t="inlineStr">
        <is>
          <t>Sysco Canada, Inc. - Vancouver</t>
        </is>
      </c>
      <c r="C6" s="8" t="inlineStr">
        <is>
          <t>Cheddar whiite</t>
        </is>
      </c>
      <c r="D6" s="8" t="inlineStr">
        <is>
          <t>CHEESE CHEDDAR WHITE X-AGE</t>
        </is>
      </c>
      <c r="E6" s="8" t="inlineStr">
        <is>
          <t>1 × 2.25 kg</t>
        </is>
      </c>
      <c r="F6" s="13" t="n">
        <v>0.9911894273127754</v>
      </c>
      <c r="G6" s="8" t="inlineStr">
        <is>
          <t>each</t>
        </is>
      </c>
      <c r="H6" s="14" t="n">
        <v>24.07103524229075</v>
      </c>
      <c r="I6" s="14" t="n">
        <v>48.57</v>
      </c>
      <c r="J6" s="8" t="inlineStr">
        <is>
          <t>No</t>
        </is>
      </c>
      <c r="K6" s="8" t="inlineStr">
        <is>
          <t>Valued $24.07 vs invoiced $48.57 — check the pack (1 × 2.25 kg)</t>
        </is>
      </c>
    </row>
    <row r="7">
      <c r="A7" s="8" t="inlineStr">
        <is>
          <t>2026-07-27</t>
        </is>
      </c>
      <c r="B7" s="8" t="inlineStr">
        <is>
          <t>Sysco Canada, Inc. - Vancouver</t>
        </is>
      </c>
      <c r="C7" s="8" t="inlineStr">
        <is>
          <t>CHEESE CURD</t>
        </is>
      </c>
      <c r="D7" s="8" t="inlineStr">
        <is>
          <t>CHEESE CURD</t>
        </is>
      </c>
      <c r="E7" s="8" t="inlineStr">
        <is>
          <t>5 × 2 kg</t>
        </is>
      </c>
      <c r="F7" s="13" t="n">
        <v>1</v>
      </c>
      <c r="G7" s="8" t="inlineStr">
        <is>
          <t>case</t>
        </is>
      </c>
      <c r="H7" s="14" t="n">
        <v>34.23</v>
      </c>
      <c r="I7" s="14" t="n">
        <v>224.92</v>
      </c>
      <c r="J7" s="8" t="inlineStr">
        <is>
          <t>No</t>
        </is>
      </c>
      <c r="K7" s="8" t="inlineStr">
        <is>
          <t>Valued $34.23 vs invoiced $224.92 — check the pack (5 × 2 kg)</t>
        </is>
      </c>
    </row>
    <row r="8">
      <c r="A8" s="4" t="inlineStr">
        <is>
          <t>2026-07-27</t>
        </is>
      </c>
      <c r="B8" s="4" t="inlineStr">
        <is>
          <t>Acecard Food Group LTD</t>
        </is>
      </c>
      <c r="C8" s="4" t="inlineStr">
        <is>
          <t>Chx Thigh BL SL Fresh 3x3.75kg avg — LEGENDS (case weights: 8.300, 9.860 KG)</t>
        </is>
      </c>
      <c r="D8" s="4" t="inlineStr">
        <is>
          <t>Chx Thigh BL SL Fresh 3x3.5kg avg LEGENDS</t>
        </is>
      </c>
      <c r="E8" s="4" t="inlineStr">
        <is>
          <t>3 × 3.75 kg</t>
        </is>
      </c>
      <c r="F8" s="5" t="n">
        <v>19.66</v>
      </c>
      <c r="G8" s="4" t="inlineStr">
        <is>
          <t>kg</t>
        </is>
      </c>
      <c r="H8" s="7" t="n">
        <v>320.458</v>
      </c>
      <c r="I8" s="7" t="n">
        <v>320.46</v>
      </c>
      <c r="J8" s="4" t="inlineStr">
        <is>
          <t>Yes</t>
        </is>
      </c>
      <c r="K8" s="4" t="inlineStr"/>
    </row>
    <row r="9">
      <c r="A9" s="4" t="inlineStr">
        <is>
          <t>2026-07-27</t>
        </is>
      </c>
      <c r="B9" s="4" t="inlineStr">
        <is>
          <t>Sysco Canada, Inc. - Vancouver</t>
        </is>
      </c>
      <c r="C9" s="4" t="inlineStr">
        <is>
          <t>coconut milk</t>
        </is>
      </c>
      <c r="D9" s="4" t="inlineStr">
        <is>
          <t>MILK COCONUT 17-19%</t>
        </is>
      </c>
      <c r="E9" s="4" t="inlineStr">
        <is>
          <t>6 × 2.841 l</t>
        </is>
      </c>
      <c r="F9" s="5" t="n">
        <v>1</v>
      </c>
      <c r="G9" s="4" t="inlineStr">
        <is>
          <t>case</t>
        </is>
      </c>
      <c r="H9" s="7" t="n">
        <v>119.89</v>
      </c>
      <c r="I9" s="7" t="n">
        <v>119.89</v>
      </c>
      <c r="J9" s="4" t="inlineStr">
        <is>
          <t>Yes</t>
        </is>
      </c>
      <c r="K9" s="4" t="inlineStr"/>
    </row>
    <row r="10">
      <c r="A10" s="4" t="inlineStr">
        <is>
          <t>2026-07-27</t>
        </is>
      </c>
      <c r="B10" s="4" t="inlineStr">
        <is>
          <t>Sysco Canada, Inc. - Vancouver</t>
        </is>
      </c>
      <c r="C10" s="4" t="inlineStr">
        <is>
          <t>kennebec potato</t>
        </is>
      </c>
      <c r="D10" s="4" t="inlineStr">
        <is>
          <t>POTATO KENNEBEC CTN</t>
        </is>
      </c>
      <c r="E10" s="4" t="inlineStr">
        <is>
          <t>1 × 50 lb</t>
        </is>
      </c>
      <c r="F10" s="5" t="n">
        <v>1</v>
      </c>
      <c r="G10" s="4" t="inlineStr">
        <is>
          <t>case</t>
        </is>
      </c>
      <c r="H10" s="7" t="n">
        <v>35.05</v>
      </c>
      <c r="I10" s="7" t="n">
        <v>35.05</v>
      </c>
      <c r="J10" s="4" t="inlineStr">
        <is>
          <t>Yes</t>
        </is>
      </c>
      <c r="K10" s="4" t="inlineStr"/>
    </row>
    <row r="11">
      <c r="A11" s="4" t="inlineStr">
        <is>
          <t>2026-07-27</t>
        </is>
      </c>
      <c r="B11" s="4" t="inlineStr">
        <is>
          <t>Sysco Canada, Inc. - Vancouver</t>
        </is>
      </c>
      <c r="C11" s="4" t="inlineStr">
        <is>
          <t>Mushroom Portobello</t>
        </is>
      </c>
      <c r="D11" s="4" t="inlineStr">
        <is>
          <t>MUSHROOM PORT LRG W/STEM FRSH</t>
        </is>
      </c>
      <c r="E11" s="4" t="inlineStr">
        <is>
          <t>1 × 5 lb</t>
        </is>
      </c>
      <c r="F11" s="5" t="n">
        <v>2</v>
      </c>
      <c r="G11" s="4" t="inlineStr">
        <is>
          <t>case</t>
        </is>
      </c>
      <c r="H11" s="7" t="n">
        <v>71.95999999999999</v>
      </c>
      <c r="I11" s="7" t="n">
        <v>71.95999999999999</v>
      </c>
      <c r="J11" s="4" t="inlineStr">
        <is>
          <t>Yes</t>
        </is>
      </c>
      <c r="K11" s="4" t="inlineStr"/>
    </row>
    <row r="12">
      <c r="A12" s="4" t="inlineStr">
        <is>
          <t>2026-07-27</t>
        </is>
      </c>
      <c r="B12" s="4" t="inlineStr">
        <is>
          <t>Sysco Canada, Inc. - Vancouver</t>
        </is>
      </c>
      <c r="C12" s="4" t="inlineStr">
        <is>
          <t>Mushroom shiitake</t>
        </is>
      </c>
      <c r="D12" s="4" t="inlineStr">
        <is>
          <t>MUSHROOM SHIITAKE MED W/STEM</t>
        </is>
      </c>
      <c r="E12" s="4" t="inlineStr">
        <is>
          <t>1 × 3 lb</t>
        </is>
      </c>
      <c r="F12" s="5" t="n">
        <v>2</v>
      </c>
      <c r="G12" s="4" t="inlineStr">
        <is>
          <t>case</t>
        </is>
      </c>
      <c r="H12" s="7" t="n">
        <v>86.81999999999998</v>
      </c>
      <c r="I12" s="7" t="n">
        <v>86.81999999999999</v>
      </c>
      <c r="J12" s="4" t="inlineStr">
        <is>
          <t>Yes</t>
        </is>
      </c>
      <c r="K12" s="4" t="inlineStr"/>
    </row>
    <row r="13">
      <c r="A13" s="4" t="inlineStr">
        <is>
          <t>2026-07-27</t>
        </is>
      </c>
      <c r="B13" s="4" t="inlineStr">
        <is>
          <t>Acecard Food Group LTD</t>
        </is>
      </c>
      <c r="C13" s="4" t="inlineStr">
        <is>
          <t>Pork Back Ribs</t>
        </is>
      </c>
      <c r="D13" s="4" t="inlineStr">
        <is>
          <t>Pork Backribs Fsh 6-7kg/cs BRITCO</t>
        </is>
      </c>
      <c r="E13" s="4" t="inlineStr">
        <is>
          <t>1 × 7 kg</t>
        </is>
      </c>
      <c r="F13" s="5" t="n">
        <v>21.5</v>
      </c>
      <c r="G13" s="4" t="inlineStr">
        <is>
          <t>kg</t>
        </is>
      </c>
      <c r="H13" s="7" t="n">
        <v>341.85</v>
      </c>
      <c r="I13" s="7" t="n">
        <v>341.85</v>
      </c>
      <c r="J13" s="4" t="inlineStr">
        <is>
          <t>Yes</t>
        </is>
      </c>
      <c r="K13" s="4" t="inlineStr"/>
    </row>
    <row r="14">
      <c r="A14" s="4" t="inlineStr">
        <is>
          <t>2026-07-27</t>
        </is>
      </c>
      <c r="B14" s="4" t="inlineStr">
        <is>
          <t>Acecard Food Group LTD</t>
        </is>
      </c>
      <c r="C14" s="4" t="inlineStr">
        <is>
          <t>pork belly</t>
        </is>
      </c>
      <c r="D14" s="4" t="inlineStr">
        <is>
          <t>Pork Belly B/L Rindon 4.5 kg Each BRITCO</t>
        </is>
      </c>
      <c r="E14" s="4" t="inlineStr">
        <is>
          <t>1 × 4.5 kg</t>
        </is>
      </c>
      <c r="F14" s="5" t="n">
        <v>16.35</v>
      </c>
      <c r="G14" s="4" t="inlineStr">
        <is>
          <t>kg</t>
        </is>
      </c>
      <c r="H14" s="7" t="n">
        <v>204.8655</v>
      </c>
      <c r="I14" s="7" t="n">
        <v>204.38</v>
      </c>
      <c r="J14" s="4" t="inlineStr">
        <is>
          <t>Yes</t>
        </is>
      </c>
      <c r="K14" s="4" t="inlineStr"/>
    </row>
    <row r="15">
      <c r="A15" s="4" t="inlineStr">
        <is>
          <t>2026-07-27</t>
        </is>
      </c>
      <c r="B15" s="4" t="inlineStr">
        <is>
          <t>Sysco Canada, Inc. - Vancouver</t>
        </is>
      </c>
      <c r="C15" s="4" t="inlineStr">
        <is>
          <t>POTATO YELLOW YUKON GLD FRSH</t>
        </is>
      </c>
      <c r="D15" s="4" t="inlineStr">
        <is>
          <t>POTATO YUKON GOLD LG</t>
        </is>
      </c>
      <c r="E15" s="4" t="inlineStr">
        <is>
          <t>1 × 50 lb</t>
        </is>
      </c>
      <c r="F15" s="5" t="n">
        <v>1</v>
      </c>
      <c r="G15" s="4" t="inlineStr">
        <is>
          <t>case</t>
        </is>
      </c>
      <c r="H15" s="7" t="n">
        <v>45.6</v>
      </c>
      <c r="I15" s="7" t="n">
        <v>45.6</v>
      </c>
      <c r="J15" s="4" t="inlineStr">
        <is>
          <t>Yes</t>
        </is>
      </c>
      <c r="K15" s="4" t="inlineStr"/>
    </row>
    <row r="16">
      <c r="A16" s="4" t="inlineStr">
        <is>
          <t>2026-07-28</t>
        </is>
      </c>
      <c r="B16" s="4" t="inlineStr">
        <is>
          <t>The Brew Creek Farm</t>
        </is>
      </c>
      <c r="C16" s="4" t="inlineStr">
        <is>
          <t>Microgreens - Amaranth Red Garnet Living Tray</t>
        </is>
      </c>
      <c r="D16" s="4" t="inlineStr">
        <is>
          <t>Microgreens - Amaranth Red Garnet Living Tray</t>
        </is>
      </c>
      <c r="E16" s="4" t="inlineStr">
        <is>
          <t>? × ?</t>
        </is>
      </c>
      <c r="F16" s="5" t="n">
        <v>1</v>
      </c>
      <c r="G16" s="4" t="inlineStr">
        <is>
          <t>each</t>
        </is>
      </c>
      <c r="H16" s="7" t="n">
        <v>32</v>
      </c>
      <c r="I16" s="7" t="n">
        <v>32</v>
      </c>
      <c r="J16" s="4" t="inlineStr">
        <is>
          <t>Yes</t>
        </is>
      </c>
      <c r="K16" s="4" t="inlineStr"/>
    </row>
    <row r="17">
      <c r="A17" s="4" t="inlineStr">
        <is>
          <t>2026-07-28</t>
        </is>
      </c>
      <c r="B17" s="4" t="inlineStr">
        <is>
          <t>The Brew Creek Farm</t>
        </is>
      </c>
      <c r="C17" s="4" t="inlineStr">
        <is>
          <t>Shiso Leaves - Purple</t>
        </is>
      </c>
      <c r="D17" s="4" t="inlineStr">
        <is>
          <t>Shiso Leaves - Purple</t>
        </is>
      </c>
      <c r="E17" s="4" t="inlineStr">
        <is>
          <t>? × ?</t>
        </is>
      </c>
      <c r="F17" s="5" t="n">
        <v>2</v>
      </c>
      <c r="G17" s="4" t="inlineStr">
        <is>
          <t>each</t>
        </is>
      </c>
      <c r="H17" s="7" t="n">
        <v>22</v>
      </c>
      <c r="I17" s="7" t="n">
        <v>22</v>
      </c>
      <c r="J17" s="4" t="inlineStr">
        <is>
          <t>Yes</t>
        </is>
      </c>
      <c r="K17" s="4" t="inlineStr"/>
    </row>
    <row r="18">
      <c r="A18" s="8" t="inlineStr">
        <is>
          <t>2026-07-29</t>
        </is>
      </c>
      <c r="B18" s="8" t="inlineStr">
        <is>
          <t>Sysco Canada, Inc.</t>
        </is>
      </c>
      <c r="C18" s="8" t="inlineStr">
        <is>
          <t>black seasame seed</t>
        </is>
      </c>
      <c r="D18" s="8" t="inlineStr">
        <is>
          <t>SESAME SALK KURO GOMA</t>
        </is>
      </c>
      <c r="E18" s="8" t="inlineStr">
        <is>
          <t>1 × 1 kg</t>
        </is>
      </c>
      <c r="F18" s="13" t="n">
        <v>0.3333333333333333</v>
      </c>
      <c r="G18" s="8" t="inlineStr">
        <is>
          <t>each</t>
        </is>
      </c>
      <c r="H18" s="14" t="n">
        <v>10.12</v>
      </c>
      <c r="I18" s="14" t="n">
        <v>30.36</v>
      </c>
      <c r="J18" s="8" t="inlineStr">
        <is>
          <t>No</t>
        </is>
      </c>
      <c r="K18" s="8" t="inlineStr">
        <is>
          <t>Valued $10.12 vs invoiced $30.36 — check the pack (1 × 1 kg)</t>
        </is>
      </c>
    </row>
    <row r="19">
      <c r="A19" s="8" t="inlineStr">
        <is>
          <t>2026-07-29</t>
        </is>
      </c>
      <c r="B19" s="8" t="inlineStr">
        <is>
          <t>Acecard Food Group LTD</t>
        </is>
      </c>
      <c r="C19" s="8" t="inlineStr">
        <is>
          <t>Veal Bones</t>
        </is>
      </c>
      <c r="D19" s="8" t="inlineStr">
        <is>
          <t>Beef Bones Knuckle 25 kg</t>
        </is>
      </c>
      <c r="E19" s="8" t="inlineStr">
        <is>
          <t>1 × 25 kg</t>
        </is>
      </c>
      <c r="F19" s="13" t="n">
        <v>25</v>
      </c>
      <c r="G19" s="8" t="inlineStr">
        <is>
          <t>kg</t>
        </is>
      </c>
      <c r="H19" s="14" t="n">
        <v>169.0285542954902</v>
      </c>
      <c r="I19" s="14" t="n">
        <v>73.56</v>
      </c>
      <c r="J19" s="8" t="inlineStr">
        <is>
          <t>No</t>
        </is>
      </c>
      <c r="K19" s="8" t="inlineStr">
        <is>
          <t>Valued $169.03 vs invoiced $73.56 — check the pack (1 × 25 kg)</t>
        </is>
      </c>
    </row>
    <row r="20">
      <c r="A20" s="8" t="inlineStr">
        <is>
          <t>2026-07-29</t>
        </is>
      </c>
      <c r="B20" s="8" t="inlineStr">
        <is>
          <t>Acecard Food Group LTD</t>
        </is>
      </c>
      <c r="C20" s="8" t="inlineStr">
        <is>
          <t>Veal Bones</t>
        </is>
      </c>
      <c r="D20" s="8" t="inlineStr">
        <is>
          <t>Veal Bones (Knuckle) Fz 501lb/cs WHITEVEAL</t>
        </is>
      </c>
      <c r="E20" s="8" t="inlineStr">
        <is>
          <t>1 × 501 lb</t>
        </is>
      </c>
      <c r="F20" s="13" t="n">
        <v>227.249592</v>
      </c>
      <c r="G20" s="8" t="inlineStr">
        <is>
          <t>kg</t>
        </is>
      </c>
      <c r="H20" s="14" t="n">
        <v>1536.4668</v>
      </c>
      <c r="I20" s="14" t="n">
        <v>0</v>
      </c>
      <c r="J20" s="8" t="inlineStr">
        <is>
          <t>No</t>
        </is>
      </c>
      <c r="K20" s="8" t="inlineStr">
        <is>
          <t>No invoiced total — cannot be reconciled</t>
        </is>
      </c>
    </row>
    <row r="21">
      <c r="A21" s="4" t="inlineStr">
        <is>
          <t>2026-07-30</t>
        </is>
      </c>
      <c r="B21" s="4" t="inlineStr">
        <is>
          <t>Snow Cap Enterprises Ltd.</t>
        </is>
      </c>
      <c r="C21" s="4" t="inlineStr">
        <is>
          <t>Figs Dried</t>
        </is>
      </c>
      <c r="D21" s="4" t="inlineStr">
        <is>
          <t>FIG DRIED WHOLE BLACK MISSION</t>
        </is>
      </c>
      <c r="E21" s="4" t="inlineStr">
        <is>
          <t>1 × 13.6 kg</t>
        </is>
      </c>
      <c r="F21" s="5" t="n">
        <v>1</v>
      </c>
      <c r="G21" s="4" t="inlineStr">
        <is>
          <t>each</t>
        </is>
      </c>
      <c r="H21" s="7" t="n">
        <v>246.25</v>
      </c>
      <c r="I21" s="7" t="n">
        <v>246.25</v>
      </c>
      <c r="J21" s="4" t="inlineStr">
        <is>
          <t>Yes</t>
        </is>
      </c>
      <c r="K21" s="4" t="inlineStr"/>
    </row>
    <row r="22">
      <c r="A22" s="4" t="inlineStr">
        <is>
          <t>2026-07-30</t>
        </is>
      </c>
      <c r="B22" s="4" t="inlineStr">
        <is>
          <t>North Arm Farm Inc.</t>
        </is>
      </c>
      <c r="C22" s="4" t="inlineStr">
        <is>
          <t>Salad Mix O/S</t>
        </is>
      </c>
      <c r="D22" s="4" t="inlineStr">
        <is>
          <t>Salad Mix O/S, lb, from Rootdown Farms in Pemberton, BC</t>
        </is>
      </c>
      <c r="E22" s="4" t="inlineStr">
        <is>
          <t>? × ?</t>
        </is>
      </c>
      <c r="F22" s="5" t="n">
        <v>5</v>
      </c>
      <c r="G22" s="4" t="inlineStr">
        <is>
          <t>lb</t>
        </is>
      </c>
      <c r="H22" s="7" t="n">
        <v>114.95</v>
      </c>
      <c r="I22" s="7" t="n">
        <v>114.95</v>
      </c>
      <c r="J22" s="4" t="inlineStr">
        <is>
          <t>Yes</t>
        </is>
      </c>
      <c r="K22" s="4" t="inlineStr"/>
    </row>
    <row r="23">
      <c r="A23" s="4" t="inlineStr">
        <is>
          <t>2026-07-30</t>
        </is>
      </c>
      <c r="B23" s="4" t="inlineStr">
        <is>
          <t>North Arm Farm Inc.</t>
        </is>
      </c>
      <c r="C23" s="4" t="inlineStr">
        <is>
          <t>Tomatillos, Toma Verde — lb *** new crop - nimited supply - more next week ***</t>
        </is>
      </c>
      <c r="D23" s="4" t="inlineStr">
        <is>
          <t>Tomatillos, Toma Verde</t>
        </is>
      </c>
      <c r="E23" s="4" t="inlineStr">
        <is>
          <t>? × ?</t>
        </is>
      </c>
      <c r="F23" s="5" t="n">
        <v>20</v>
      </c>
      <c r="G23" s="4" t="inlineStr">
        <is>
          <t>lb</t>
        </is>
      </c>
      <c r="H23" s="7" t="n">
        <v>69.80000000000001</v>
      </c>
      <c r="I23" s="7" t="n">
        <v>69.8</v>
      </c>
      <c r="J23" s="4" t="inlineStr">
        <is>
          <t>Yes</t>
        </is>
      </c>
      <c r="K23" s="4" t="inlineStr"/>
    </row>
    <row r="24">
      <c r="A24" s="4" t="inlineStr">
        <is>
          <t>2026-07-31</t>
        </is>
      </c>
      <c r="B24" s="4" t="inlineStr">
        <is>
          <t>Acecard Food Group LTD (Legends Haul)</t>
        </is>
      </c>
      <c r="C24" s="4" t="inlineStr">
        <is>
          <t>Chx Thigh BL SL Fresh 3x3.75kg avg — LEGENDS (case weights: 8.300, 9.860 KG)</t>
        </is>
      </c>
      <c r="D24" s="4" t="inlineStr">
        <is>
          <t>Chx Thigh BL SL Fresh 3x3.5kg avg LEGENDS</t>
        </is>
      </c>
      <c r="E24" s="4" t="inlineStr">
        <is>
          <t>3 × 3.75 kg</t>
        </is>
      </c>
      <c r="F24" s="5" t="n">
        <v>8.380000000000001</v>
      </c>
      <c r="G24" s="4" t="inlineStr">
        <is>
          <t>kg</t>
        </is>
      </c>
      <c r="H24" s="7" t="n">
        <v>136.594</v>
      </c>
      <c r="I24" s="7" t="n">
        <v>136.59</v>
      </c>
      <c r="J24" s="4" t="inlineStr">
        <is>
          <t>Yes</t>
        </is>
      </c>
      <c r="K24" s="4" t="inlineStr"/>
    </row>
    <row r="25">
      <c r="A25" s="8" t="inlineStr">
        <is>
          <t>2026-07-31</t>
        </is>
      </c>
      <c r="B25" s="8" t="inlineStr">
        <is>
          <t>Sysco Canada, Inc.</t>
        </is>
      </c>
      <c r="C25" s="8" t="inlineStr">
        <is>
          <t>Fingerling Potatoes</t>
        </is>
      </c>
      <c r="D25" s="8" t="inlineStr">
        <is>
          <t>POTATO FRESH FINGERLING</t>
        </is>
      </c>
      <c r="E25" s="8" t="inlineStr">
        <is>
          <t>1 × 5 lb</t>
        </is>
      </c>
      <c r="F25" s="13" t="n">
        <v>10</v>
      </c>
      <c r="G25" s="8" t="inlineStr">
        <is>
          <t>lb</t>
        </is>
      </c>
      <c r="H25" s="14" t="n">
        <v>29.256684</v>
      </c>
      <c r="I25" s="14" t="n">
        <v>65.88</v>
      </c>
      <c r="J25" s="8" t="inlineStr">
        <is>
          <t>No</t>
        </is>
      </c>
      <c r="K25" s="8" t="inlineStr">
        <is>
          <t>Valued $29.26 vs invoiced $65.88 — check the pack (1 × 5 lb)</t>
        </is>
      </c>
    </row>
    <row r="26">
      <c r="A26" s="4" t="inlineStr">
        <is>
          <t>2026-07-31</t>
        </is>
      </c>
      <c r="B26" s="4" t="inlineStr">
        <is>
          <t>INTERCITY PACKERS LTD</t>
        </is>
      </c>
      <c r="C26" s="4" t="inlineStr">
        <is>
          <t>Salmon</t>
        </is>
      </c>
      <c r="D26" s="4" t="inlineStr">
        <is>
          <t>SAL SOX WILD FLT S/ON PBO OW 40lbs</t>
        </is>
      </c>
      <c r="E26" s="4" t="inlineStr">
        <is>
          <t>1 × 10 lb</t>
        </is>
      </c>
      <c r="F26" s="5" t="n">
        <v>41.75</v>
      </c>
      <c r="G26" s="4" t="inlineStr">
        <is>
          <t>lb</t>
        </is>
      </c>
      <c r="H26" s="7" t="n">
        <v>830.825</v>
      </c>
      <c r="I26" s="7" t="n">
        <v>914.33</v>
      </c>
      <c r="J26" s="4" t="inlineStr">
        <is>
          <t>Yes</t>
        </is>
      </c>
      <c r="K26" s="4" t="inlineStr"/>
    </row>
  </sheetData>
  <autoFilter ref="A3:K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3" customWidth="1" min="1" max="1"/>
    <col width="30" customWidth="1" min="2" max="2"/>
    <col width="36" customWidth="1" min="3" max="3"/>
    <col width="16" customWidth="1" min="4" max="4"/>
    <col width="11" customWidth="1" min="5" max="5"/>
    <col width="10" customWidth="1" min="6" max="6"/>
    <col width="12" customWidth="1" min="7" max="7"/>
    <col width="12" customWidth="1" min="8" max="8"/>
    <col width="54" customWidth="1" min="9" max="9"/>
  </cols>
  <sheetData>
    <row r="1">
      <c r="A1" s="1" t="inlineStr">
        <is>
          <t>Lines excluded from the position</t>
        </is>
      </c>
    </row>
    <row r="2">
      <c r="A2" s="2" t="inlineStr">
        <is>
          <t>Each of these bills an amount that does not agree with what the quantity is worth at the item's price. They are excluded from the total rather than folded in, because either the invoiced pack or the item's price is wrong and it cannot be told which from the invoice alone.</t>
        </is>
      </c>
    </row>
    <row r="4" ht="30" customHeight="1">
      <c r="A4" s="3" t="inlineStr">
        <is>
          <t>Invoice date</t>
        </is>
      </c>
      <c r="B4" s="3" t="inlineStr">
        <is>
          <t>Item</t>
        </is>
      </c>
      <c r="C4" s="3" t="inlineStr">
        <is>
          <t>As printed</t>
        </is>
      </c>
      <c r="D4" s="3" t="inlineStr">
        <is>
          <t>Pack</t>
        </is>
      </c>
      <c r="E4" s="3" t="inlineStr">
        <is>
          <t>Qty</t>
        </is>
      </c>
      <c r="F4" s="3" t="inlineStr">
        <is>
          <t>Unit</t>
        </is>
      </c>
      <c r="G4" s="3" t="inlineStr">
        <is>
          <t>Valued</t>
        </is>
      </c>
      <c r="H4" s="3" t="inlineStr">
        <is>
          <t>Invoiced</t>
        </is>
      </c>
      <c r="I4" s="3" t="inlineStr">
        <is>
          <t>Issue</t>
        </is>
      </c>
    </row>
    <row r="5">
      <c r="A5" s="4" t="inlineStr">
        <is>
          <t>2026-07-27</t>
        </is>
      </c>
      <c r="B5" s="4" t="inlineStr">
        <is>
          <t>Cheddar whiite</t>
        </is>
      </c>
      <c r="C5" s="4" t="inlineStr">
        <is>
          <t>CHEESE CHEDDAR WHITE X-AGE</t>
        </is>
      </c>
      <c r="D5" s="4" t="inlineStr">
        <is>
          <t>1 × 2.25 kg</t>
        </is>
      </c>
      <c r="E5" s="5" t="n">
        <v>0.9911894273127754</v>
      </c>
      <c r="F5" s="4" t="inlineStr">
        <is>
          <t>each</t>
        </is>
      </c>
      <c r="G5" s="7" t="n">
        <v>24.07103524229075</v>
      </c>
      <c r="H5" s="7" t="n">
        <v>48.57</v>
      </c>
      <c r="I5" s="4" t="inlineStr">
        <is>
          <t>Valued $24.07 vs invoiced $48.57 — check the pack (1 × 2.25 kg)</t>
        </is>
      </c>
    </row>
    <row r="6">
      <c r="A6" s="4" t="inlineStr">
        <is>
          <t>2026-07-27</t>
        </is>
      </c>
      <c r="B6" s="4" t="inlineStr">
        <is>
          <t>CHEESE CURD</t>
        </is>
      </c>
      <c r="C6" s="4" t="inlineStr">
        <is>
          <t>CHEESE CURD</t>
        </is>
      </c>
      <c r="D6" s="4" t="inlineStr">
        <is>
          <t>5 × 2 kg</t>
        </is>
      </c>
      <c r="E6" s="5" t="n">
        <v>1</v>
      </c>
      <c r="F6" s="4" t="inlineStr">
        <is>
          <t>case</t>
        </is>
      </c>
      <c r="G6" s="7" t="n">
        <v>34.23</v>
      </c>
      <c r="H6" s="7" t="n">
        <v>224.92</v>
      </c>
      <c r="I6" s="4" t="inlineStr">
        <is>
          <t>Valued $34.23 vs invoiced $224.92 — check the pack (5 × 2 kg)</t>
        </is>
      </c>
    </row>
    <row r="7">
      <c r="A7" s="4" t="inlineStr">
        <is>
          <t>2026-07-29</t>
        </is>
      </c>
      <c r="B7" s="4" t="inlineStr">
        <is>
          <t>black seasame seed</t>
        </is>
      </c>
      <c r="C7" s="4" t="inlineStr">
        <is>
          <t>SESAME SALK KURO GOMA</t>
        </is>
      </c>
      <c r="D7" s="4" t="inlineStr">
        <is>
          <t>1 × 1 kg</t>
        </is>
      </c>
      <c r="E7" s="5" t="n">
        <v>0.3333333333333333</v>
      </c>
      <c r="F7" s="4" t="inlineStr">
        <is>
          <t>each</t>
        </is>
      </c>
      <c r="G7" s="7" t="n">
        <v>10.12</v>
      </c>
      <c r="H7" s="7" t="n">
        <v>30.36</v>
      </c>
      <c r="I7" s="4" t="inlineStr">
        <is>
          <t>Valued $10.12 vs invoiced $30.36 — check the pack (1 × 1 kg)</t>
        </is>
      </c>
    </row>
    <row r="8">
      <c r="A8" s="4" t="inlineStr">
        <is>
          <t>2026-07-29</t>
        </is>
      </c>
      <c r="B8" s="4" t="inlineStr">
        <is>
          <t>Veal Bones</t>
        </is>
      </c>
      <c r="C8" s="4" t="inlineStr">
        <is>
          <t>Beef Bones Knuckle 25 kg</t>
        </is>
      </c>
      <c r="D8" s="4" t="inlineStr">
        <is>
          <t>1 × 25 kg</t>
        </is>
      </c>
      <c r="E8" s="5" t="n">
        <v>25</v>
      </c>
      <c r="F8" s="4" t="inlineStr">
        <is>
          <t>kg</t>
        </is>
      </c>
      <c r="G8" s="7" t="n">
        <v>169.0285542954902</v>
      </c>
      <c r="H8" s="7" t="n">
        <v>73.56</v>
      </c>
      <c r="I8" s="4" t="inlineStr">
        <is>
          <t>Valued $169.03 vs invoiced $73.56 — check the pack (1 × 25 kg)</t>
        </is>
      </c>
    </row>
    <row r="9">
      <c r="A9" s="4" t="inlineStr">
        <is>
          <t>2026-07-29</t>
        </is>
      </c>
      <c r="B9" s="4" t="inlineStr">
        <is>
          <t>Veal Bones</t>
        </is>
      </c>
      <c r="C9" s="4" t="inlineStr">
        <is>
          <t>Veal Bones (Knuckle) Fz 501lb/cs WHITEVEAL</t>
        </is>
      </c>
      <c r="D9" s="4" t="inlineStr">
        <is>
          <t>1 × 501 lb</t>
        </is>
      </c>
      <c r="E9" s="5" t="n">
        <v>227.249592</v>
      </c>
      <c r="F9" s="4" t="inlineStr">
        <is>
          <t>kg</t>
        </is>
      </c>
      <c r="G9" s="7" t="n">
        <v>1536.4668</v>
      </c>
      <c r="H9" s="7" t="n">
        <v>0</v>
      </c>
      <c r="I9" s="4" t="inlineStr">
        <is>
          <t>No invoiced total — cannot be reconciled</t>
        </is>
      </c>
    </row>
    <row r="10">
      <c r="A10" s="4" t="inlineStr">
        <is>
          <t>2026-07-31</t>
        </is>
      </c>
      <c r="B10" s="4" t="inlineStr">
        <is>
          <t>Fingerling Potatoes</t>
        </is>
      </c>
      <c r="C10" s="4" t="inlineStr">
        <is>
          <t>POTATO FRESH FINGERLING</t>
        </is>
      </c>
      <c r="D10" s="4" t="inlineStr">
        <is>
          <t>1 × 5 lb</t>
        </is>
      </c>
      <c r="E10" s="5" t="n">
        <v>10</v>
      </c>
      <c r="F10" s="4" t="inlineStr">
        <is>
          <t>lb</t>
        </is>
      </c>
      <c r="G10" s="7" t="n">
        <v>29.256684</v>
      </c>
      <c r="H10" s="7" t="n">
        <v>65.88</v>
      </c>
      <c r="I10" s="4" t="inlineStr">
        <is>
          <t>Valued $29.26 vs invoiced $65.88 — check the pack (1 × 5 lb)</t>
        </is>
      </c>
    </row>
    <row r="11">
      <c r="A11" s="11" t="inlineStr">
        <is>
          <t>Excluded value</t>
        </is>
      </c>
      <c r="G11" s="10" t="n">
        <v>1803.173073537781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8" customWidth="1" min="1" max="1"/>
  </cols>
  <sheetData>
    <row r="1">
      <c r="A1" s="1" t="inlineStr">
        <is>
          <t>Basis of preparation</t>
        </is>
      </c>
    </row>
    <row r="2">
      <c r="A2" s="15" t="inlineStr"/>
    </row>
    <row r="3" ht="52" customHeight="1">
      <c r="A3" s="16" t="inlineStr">
        <is>
          <t>THIS IS NOT A PHYSICAL COUNT. CATERING was not counted. On instruction, the position is taken to be everything purchased for CATERING between 2026-07-25 and 2026-07-31, on the assumption that the week's buying was still on hand at the period end and none of it had been consumed. If any of it was used, this figure overstates the closing position by the amount used. A physical count is the only way to remove that assumption.</t>
        </is>
      </c>
    </row>
    <row r="4">
      <c r="A4" s="16" t="inlineStr"/>
    </row>
    <row r="5" ht="39" customHeight="1">
      <c r="A5" s="16" t="inlineStr">
        <is>
          <t>Scope. 23 approved invoice lines attributed to CATERING, covering 21 distinct items. A line is attributed by its own revenue-centre assignment, by an explicit split across centres, or by inheriting the invoice's assignment when it carries none of its own. The Purchases sheet shows every line and how it was attributed.</t>
        </is>
      </c>
    </row>
    <row r="6">
      <c r="A6" s="16" t="inlineStr"/>
    </row>
    <row r="7" ht="26" customHeight="1">
      <c r="A7" s="16" t="inlineStr">
        <is>
          <t>Quantities. Derived with the same rule the stock count and theoretical receiving use, so this cannot drift from them: a line's received quantity expands through the pack printed on the invoice.</t>
        </is>
      </c>
    </row>
    <row r="8">
      <c r="A8" s="16" t="inlineStr"/>
    </row>
    <row r="9" ht="39" customHeight="1">
      <c r="A9" s="16" t="inlineStr">
        <is>
          <t>Prices. The item's corrected price as at the export date, not the price on the invoice. The Invoiced column shows what was actually billed, and Variance is the difference. They diverge when a price moved after the invoice was approved.</t>
        </is>
      </c>
    </row>
    <row r="10">
      <c r="A10" s="16" t="inlineStr"/>
    </row>
    <row r="11" ht="52" customHeight="1">
      <c r="A11" s="16" t="inlineStr">
        <is>
          <t>Exclusions. 6 lines worth $1,803.17 are excluded and listed on Needs review. In each case what the quantity is worth at the item's price differs from what was invoiced by more than 25%, or the line carries no invoiced total at all. One Veal Bones line reads a pack of "1 × 501 lb" with no total, which alone would have added 227 kg of stock and $0 of cost. Including such lines would be guessing.</t>
        </is>
      </c>
    </row>
    <row r="12">
      <c r="A12" s="16" t="inlineStr"/>
    </row>
    <row r="13" ht="52" customHeight="1">
      <c r="A13" s="16" t="inlineStr">
        <is>
          <t>Prices under review. Items marked in the last column of the Position sheet still carry an unresolved flag from the inventory price audit — their valuation is provisional until the flag is cleared. Notably, four of the excluded lines are for items on that list, so the reconciliation check and the price audit agree with each other about where the data is weak.</t>
        </is>
      </c>
    </row>
    <row r="14">
      <c r="A14" s="16" t="inlineStr"/>
    </row>
    <row r="15" ht="26" customHeight="1">
      <c r="A15" s="16" t="inlineStr">
        <is>
          <t>Formulas. Value and Variance are formulas over the quantity and price columns, so correcting a price updates the totals. Nothing is a pasted result.</t>
        </is>
      </c>
    </row>
    <row r="16">
      <c r="A16" s="16" t="inlineStr"/>
    </row>
    <row r="17" ht="39" customHeight="1">
      <c r="A17" s="16" t="inlineStr">
        <is>
          <t>Check figures. The Position sheet should total $3,021.33 against $3,547.64 invoiced, a variance of $-526.31, with $1,803.17 excluded on top. If Excel shows different totals, a price has been edited since this file was produced.</t>
        </is>
      </c>
    </row>
    <row r="18">
      <c r="A18" s="16" t="inlineStr"/>
    </row>
    <row r="19" ht="14" customHeight="1">
      <c r="A19" s="17" t="inlineStr">
        <is>
          <t>Window: 2026-07-25 to 2026-07-31.  Prices as at: 2026-08-11 06:44:58 UTC.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2026-08-11T06:46:05Z</dcterms:created>
  <dcterms:modified xsi:type="dcterms:W3CDTF">2026-08-11T06:46:05Z</dcterms:modified>
</cp:coreProperties>
</file>